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00" windowHeight="130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AutoBVT</author>
    <author>刘朋朋</author>
  </authors>
  <commentList>
    <comment ref="F1" authorId="0">
      <text>
        <r>
          <rPr>
            <sz val="9"/>
            <rFont val="宋体"/>
            <charset val="134"/>
          </rPr>
          <t>作者:
城镇户籍人口=非农人口</t>
        </r>
      </text>
    </comment>
    <comment ref="N1" authorId="0">
      <text>
        <r>
          <rPr>
            <sz val="9"/>
            <rFont val="宋体"/>
            <charset val="134"/>
          </rPr>
          <t>课题组:
中国城市统计年鉴2012</t>
        </r>
      </text>
    </comment>
    <comment ref="O1" authorId="0">
      <text>
        <r>
          <rPr>
            <sz val="9"/>
            <rFont val="宋体"/>
            <charset val="134"/>
          </rPr>
          <t>课题组:
中国城市统计年鉴2012</t>
        </r>
      </text>
    </comment>
    <comment ref="W1" authorId="0">
      <text>
        <r>
          <rPr>
            <sz val="9"/>
            <rFont val="宋体"/>
            <charset val="134"/>
          </rPr>
          <t>课题组：
中国城市统计年鉴2012：绿地面积（城区）</t>
        </r>
      </text>
    </comment>
    <comment ref="Y1" authorId="0">
      <text>
        <r>
          <rPr>
            <sz val="9"/>
            <rFont val="宋体"/>
            <charset val="134"/>
          </rPr>
          <t>课题组:
中国城市统计年鉴2012
在岗职工工资总额</t>
        </r>
      </text>
    </comment>
    <comment ref="AP1" authorId="0">
      <text>
        <r>
          <rPr>
            <sz val="9"/>
            <rFont val="宋体"/>
            <charset val="134"/>
          </rPr>
          <t>课题组:
R&amp;D经费内部支出+外部支出</t>
        </r>
      </text>
    </comment>
    <comment ref="BB1" authorId="0">
      <text>
        <r>
          <rPr>
            <sz val="9"/>
            <rFont val="宋体"/>
            <charset val="134"/>
          </rPr>
          <t xml:space="preserve">作者:
</t>
        </r>
      </text>
    </comment>
    <comment ref="BU1" authorId="0">
      <text>
        <r>
          <rPr>
            <sz val="9"/>
            <rFont val="宋体"/>
            <charset val="134"/>
          </rPr>
          <t xml:space="preserve">课题组：
计算公式：工矿商贸从业人员死亡人数/（第二产业+第三产业）从业人员。
此计算方法出自汕头市统计年鉴
</t>
        </r>
      </text>
    </comment>
    <comment ref="CF1" authorId="0">
      <text>
        <r>
          <rPr>
            <sz val="9"/>
            <rFont val="宋体"/>
            <charset val="134"/>
          </rPr>
          <t>课题组：合法生育率与此相同</t>
        </r>
      </text>
    </comment>
    <comment ref="CG1" authorId="0">
      <text>
        <r>
          <rPr>
            <sz val="9"/>
            <rFont val="宋体"/>
            <charset val="134"/>
          </rPr>
          <t>课题组：社会组织=民办非企业个数+社会团体个数+基金会个数</t>
        </r>
      </text>
    </comment>
    <comment ref="CH1" authorId="0">
      <text>
        <r>
          <rPr>
            <sz val="9"/>
            <rFont val="宋体"/>
            <charset val="134"/>
          </rPr>
          <t>作者:
如有发案率则将该数据批注上</t>
        </r>
      </text>
    </comment>
    <comment ref="CI1" authorId="0">
      <text>
        <r>
          <rPr>
            <sz val="9"/>
            <rFont val="宋体"/>
            <charset val="134"/>
          </rPr>
          <t>作者:
如有破案率则将该数据批注上</t>
        </r>
      </text>
    </comment>
    <comment ref="CN1" authorId="0">
      <text>
        <r>
          <rPr>
            <sz val="9"/>
            <rFont val="宋体"/>
            <charset val="134"/>
          </rPr>
          <t>作者:
来访人次+来信件数</t>
        </r>
      </text>
    </comment>
    <comment ref="CS1" authorId="0">
      <text>
        <r>
          <rPr>
            <sz val="9"/>
            <rFont val="宋体"/>
            <charset val="134"/>
          </rPr>
          <t>课题组：中国城市统计年鉴2012</t>
        </r>
      </text>
    </comment>
    <comment ref="CT1" authorId="0">
      <text>
        <r>
          <rPr>
            <sz val="9"/>
            <rFont val="宋体"/>
            <charset val="134"/>
          </rPr>
          <t>课题组：中国城市统计年鉴2012</t>
        </r>
      </text>
    </comment>
    <comment ref="DA1" authorId="0">
      <text>
        <r>
          <rPr>
            <sz val="9"/>
            <rFont val="宋体"/>
            <charset val="134"/>
          </rPr>
          <t>课题组：中国城市统计年鉴2012</t>
        </r>
      </text>
    </comment>
    <comment ref="DB1" authorId="0">
      <text>
        <r>
          <rPr>
            <sz val="9"/>
            <rFont val="宋体"/>
            <charset val="134"/>
          </rPr>
          <t>课题组：中国城市统计年鉴2012</t>
        </r>
      </text>
    </comment>
    <comment ref="DC1" authorId="0">
      <text>
        <r>
          <rPr>
            <sz val="9"/>
            <rFont val="宋体"/>
            <charset val="134"/>
          </rPr>
          <t>课题组：中国城市统计年鉴2012</t>
        </r>
      </text>
    </comment>
    <comment ref="DD1" authorId="0">
      <text>
        <r>
          <rPr>
            <sz val="9"/>
            <rFont val="宋体"/>
            <charset val="134"/>
          </rPr>
          <t>课题组：（一级天气+二级天气个数）/365天
良好以上天气个数/365天</t>
        </r>
      </text>
    </comment>
    <comment ref="DJ1" authorId="0">
      <text>
        <r>
          <rPr>
            <sz val="9"/>
            <rFont val="宋体"/>
            <charset val="134"/>
          </rPr>
          <t>课题组:
处级及其以上领导干部个数</t>
        </r>
      </text>
    </comment>
    <comment ref="DK1" authorId="0">
      <text>
        <r>
          <rPr>
            <sz val="9"/>
            <rFont val="宋体"/>
            <charset val="134"/>
          </rPr>
          <t>作者:
网址：中国政府公开信息整合服务平台</t>
        </r>
      </text>
    </comment>
    <comment ref="DN1" authorId="0">
      <text>
        <r>
          <rPr>
            <sz val="9"/>
            <rFont val="宋体"/>
            <charset val="134"/>
          </rPr>
          <t>课题组：主动公开和半公开数据之和</t>
        </r>
      </text>
    </comment>
    <comment ref="AL2" authorId="0">
      <text>
        <r>
          <rPr>
            <sz val="9"/>
            <rFont val="宋体"/>
            <charset val="134"/>
          </rPr>
          <t>课题组:
中国区域经济统计年鉴2012
互联网宽带接入用户数</t>
        </r>
      </text>
    </comment>
    <comment ref="AG4" authorId="1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Z4" authorId="1">
      <text>
        <r>
          <rPr>
            <b/>
            <sz val="9"/>
            <rFont val="宋体"/>
            <charset val="134"/>
          </rPr>
          <t>AutoBVT:中国民政年鉴2015</t>
        </r>
      </text>
    </comment>
    <comment ref="BL4" authorId="1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2015年中国国有资产监督管理年鉴</t>
        </r>
      </text>
    </comment>
    <comment ref="CG4" authorId="1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CX4" authorId="1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中国环境统计年鉴2015</t>
        </r>
      </text>
    </comment>
    <comment ref="DH4" authorId="1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来源核实
</t>
        </r>
      </text>
    </comment>
    <comment ref="BT5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中国安全生产年鉴2014：366人</t>
        </r>
      </text>
    </comment>
    <comment ref="N6" authorId="1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R6" authorId="1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河北经济年鉴</t>
        </r>
      </text>
    </comment>
    <comment ref="U6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Z6" authorId="1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T8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U8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V8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BU8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8人</t>
        </r>
      </text>
    </comment>
    <comment ref="BT10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183，p187</t>
        </r>
      </text>
    </comment>
    <comment ref="BU10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18，p187</t>
        </r>
      </text>
    </comment>
    <comment ref="DG10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受理337件，审结305件，p132</t>
        </r>
      </text>
    </comment>
    <comment ref="M13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增长8.5%</t>
        </r>
      </text>
    </comment>
    <comment ref="BT13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92，p294</t>
        </r>
      </text>
    </comment>
    <comment ref="BU13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14，p294</t>
        </r>
      </text>
    </comment>
    <comment ref="DG13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受理271，全部审结，p181</t>
        </r>
      </text>
    </comment>
    <comment ref="DI13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一审案件数</t>
        </r>
      </text>
    </comment>
    <comment ref="T14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U14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V14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BT14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83人</t>
        </r>
      </text>
    </comment>
    <comment ref="BT15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58，p418</t>
        </r>
      </text>
    </comment>
    <comment ref="BU15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7，p418</t>
        </r>
      </text>
    </comment>
    <comment ref="DI15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审结数，p277</t>
        </r>
      </text>
    </comment>
    <comment ref="T16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U16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V16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CU16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通有线电视村数4636</t>
        </r>
      </text>
    </comment>
    <comment ref="R17" authorId="1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BT17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49</t>
        </r>
      </text>
    </comment>
    <comment ref="BT19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64人</t>
        </r>
      </text>
    </comment>
    <comment ref="DK19" authorId="1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总计</t>
        </r>
      </text>
    </comment>
    <comment ref="DL19" authorId="1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累计</t>
        </r>
      </text>
    </comment>
    <comment ref="DK21" authorId="1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累计
</t>
        </r>
      </text>
    </comment>
    <comment ref="DL21" authorId="1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累计
</t>
        </r>
      </text>
    </comment>
    <comment ref="H22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市场总数达68740户，p229</t>
        </r>
      </text>
    </comment>
    <comment ref="K23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企业数27388户，p143</t>
        </r>
      </text>
    </comment>
    <comment ref="AN23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破案同比上升8.2%，p256</t>
        </r>
      </text>
    </comment>
    <comment ref="BU23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死亡10人，p147</t>
        </r>
      </text>
    </comment>
    <comment ref="CN23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市县两级接待你群众来信来犯12391人次，进京非正常访227人次，付省集体访873人次，群众来信2673件次</t>
        </r>
      </text>
    </comment>
    <comment ref="BT24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90人</t>
        </r>
      </text>
    </comment>
    <comment ref="BT25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72人</t>
        </r>
      </text>
    </comment>
    <comment ref="DL25" authorId="1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总计</t>
        </r>
      </text>
    </comment>
    <comment ref="BT27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76人 </t>
        </r>
      </text>
    </comment>
    <comment ref="E28" authorId="0">
      <text>
        <r>
          <rPr>
            <b/>
            <sz val="9"/>
            <rFont val="宋体"/>
            <charset val="134"/>
          </rPr>
          <t>李凯恩：</t>
        </r>
        <r>
          <rPr>
            <sz val="9"/>
            <rFont val="宋体"/>
            <charset val="134"/>
          </rPr>
          <t xml:space="preserve">
呼和浩特市下辖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>县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旗。</t>
        </r>
      </text>
    </comment>
    <comment ref="G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年末总人口303.06万人</t>
        </r>
      </text>
    </comment>
    <comment ref="J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外商投资企业
</t>
        </r>
      </text>
    </comment>
    <comment ref="N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O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T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U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W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G28" authorId="0">
      <text>
        <r>
          <rPr>
            <b/>
            <sz val="9"/>
            <rFont val="宋体"/>
            <charset val="134"/>
          </rPr>
          <t>中国城市统计年鉴2015 城镇职工基本养老保险参保人数</t>
        </r>
      </text>
    </comment>
    <comment ref="AH28" authorId="0">
      <text>
        <r>
          <rPr>
            <b/>
            <sz val="9"/>
            <rFont val="宋体"/>
            <charset val="134"/>
          </rPr>
          <t>中国城市统计年鉴2015 城镇基本医疗保险参保人数</t>
        </r>
      </text>
    </comment>
    <comment ref="AN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破案率49.6</t>
        </r>
      </text>
    </comment>
    <comment ref="AO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Q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GDP2894.05亿元</t>
        </r>
      </text>
    </comment>
    <comment ref="AZ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A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D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E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L28" authorId="0">
      <text>
        <r>
          <rPr>
            <b/>
            <sz val="9"/>
            <rFont val="宋体"/>
            <charset val="134"/>
          </rPr>
          <t>中国国有资产监督管理年鉴2015</t>
        </r>
      </text>
    </comment>
    <comment ref="BT28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各类生产安全事故死亡59人，p204</t>
        </r>
      </text>
    </comment>
    <comment ref="CS28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CT28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CY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４５．２９万亩。
</t>
        </r>
      </text>
    </comment>
    <comment ref="DA28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B28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C28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D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242</t>
        </r>
      </text>
    </comment>
    <comment ref="DG28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申请50件，不予受理15件，未审结12件，p189</t>
        </r>
      </text>
    </comment>
    <comment ref="DI28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审结</t>
        </r>
      </text>
    </comment>
    <comment ref="E29" authorId="0">
      <text>
        <r>
          <rPr>
            <b/>
            <sz val="9"/>
            <rFont val="宋体"/>
            <charset val="134"/>
          </rPr>
          <t>李凯恩:</t>
        </r>
        <r>
          <rPr>
            <sz val="9"/>
            <rFont val="宋体"/>
            <charset val="134"/>
          </rPr>
          <t xml:space="preserve">
包头市下辖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县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旗。</t>
        </r>
      </text>
    </comment>
    <comment ref="G2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年末总人口279.92万人</t>
        </r>
      </text>
    </comment>
    <comment ref="J2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外商投资企业
</t>
        </r>
      </text>
    </comment>
    <comment ref="N2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O2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T2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U2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W2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G29" authorId="0">
      <text>
        <r>
          <rPr>
            <b/>
            <sz val="9"/>
            <rFont val="宋体"/>
            <charset val="134"/>
          </rPr>
          <t>中国城市统计年鉴2015 城镇职工基本养老保险参保人数</t>
        </r>
      </text>
    </comment>
    <comment ref="AH29" authorId="0">
      <text>
        <r>
          <rPr>
            <b/>
            <sz val="9"/>
            <rFont val="宋体"/>
            <charset val="134"/>
          </rPr>
          <t>中国城市统计年鉴2015 城镇基本医疗保险参保人数</t>
        </r>
      </text>
    </comment>
    <comment ref="AO2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P29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年鉴：全社会研发经费支出42.95亿元，p249</t>
        </r>
      </text>
    </comment>
    <comment ref="AQ2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GDP3601.23亿元</t>
        </r>
      </text>
    </comment>
    <comment ref="AZ2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A2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B29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职务犯罪人数</t>
        </r>
      </text>
    </comment>
    <comment ref="BC29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职务犯罪人数</t>
        </r>
      </text>
    </comment>
    <comment ref="BD2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E2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L29" authorId="0">
      <text>
        <r>
          <rPr>
            <b/>
            <sz val="9"/>
            <rFont val="宋体"/>
            <charset val="134"/>
          </rPr>
          <t>中国国有资产监督管理年鉴2015</t>
        </r>
      </text>
    </comment>
    <comment ref="BT29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各类生产安全事故死亡56人，p85</t>
        </r>
      </text>
    </comment>
    <comment ref="CS29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CT29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B29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C29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G29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受理15件，审结10件，p66</t>
        </r>
      </text>
    </comment>
    <comment ref="E30" authorId="0">
      <text>
        <r>
          <rPr>
            <sz val="9"/>
            <rFont val="宋体"/>
            <charset val="134"/>
          </rPr>
          <t>李凯恩：
呼伦贝尔市下辖0县7旗。</t>
        </r>
      </text>
    </comment>
    <comment ref="G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年末总人口252.95万人</t>
        </r>
      </text>
    </comment>
    <comment ref="N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O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T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U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W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G30" authorId="0">
      <text>
        <r>
          <rPr>
            <b/>
            <sz val="9"/>
            <rFont val="宋体"/>
            <charset val="134"/>
          </rPr>
          <t>中国城市统计年鉴2015 城镇职工基本养老保险参保人数</t>
        </r>
      </text>
    </comment>
    <comment ref="AH30" authorId="0">
      <text>
        <r>
          <rPr>
            <b/>
            <sz val="9"/>
            <rFont val="宋体"/>
            <charset val="134"/>
          </rPr>
          <t>中国城市统计年鉴2015 城镇基本医疗保险参保人数</t>
        </r>
      </text>
    </comment>
    <comment ref="AO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Q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GDP1522.2亿元</t>
        </r>
      </text>
    </comment>
    <comment ref="AW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群艺馆、文化馆15个</t>
        </r>
      </text>
    </comment>
    <comment ref="AZ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A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D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E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F30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G30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L30" authorId="0">
      <text>
        <r>
          <rPr>
            <b/>
            <sz val="9"/>
            <rFont val="宋体"/>
            <charset val="134"/>
          </rPr>
          <t>中国国有资产监督管理年鉴2015</t>
        </r>
      </text>
    </comment>
    <comment ref="BO30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T30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死亡115人</t>
        </r>
      </text>
    </comment>
    <comment ref="BU30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死亡7人</t>
        </r>
      </text>
    </comment>
    <comment ref="CS30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CT30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CW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数据无误</t>
        </r>
      </text>
    </comment>
    <comment ref="DA30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B30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C30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G3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受理38件，审结7件</t>
        </r>
      </text>
    </comment>
    <comment ref="E31" authorId="0">
      <text>
        <r>
          <rPr>
            <b/>
            <sz val="9"/>
            <rFont val="宋体"/>
            <charset val="134"/>
          </rPr>
          <t>李凯恩：</t>
        </r>
        <r>
          <rPr>
            <sz val="9"/>
            <rFont val="宋体"/>
            <charset val="134"/>
          </rPr>
          <t xml:space="preserve">
兴安盟下辖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县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旗。</t>
        </r>
      </text>
    </comment>
    <comment ref="G3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总人口167.44万人</t>
        </r>
      </text>
    </comment>
    <comment ref="T3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U3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AQ3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GDP460.51亿元</t>
        </r>
      </text>
    </comment>
    <comment ref="AZ3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A3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D3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E3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F31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G31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H3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无误</t>
        </r>
      </text>
    </comment>
    <comment ref="BI3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共引进国外资金611万美元</t>
        </r>
      </text>
    </comment>
    <comment ref="BL31" authorId="0">
      <text>
        <r>
          <rPr>
            <b/>
            <sz val="9"/>
            <rFont val="宋体"/>
            <charset val="134"/>
          </rPr>
          <t>中国国有资产监督管理年鉴2015</t>
        </r>
      </text>
    </comment>
    <comment ref="BO31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R3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中心市场乌兰浩特市CPI涨幅0.7%</t>
        </r>
      </text>
    </comment>
    <comment ref="BT3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171起，死亡23人</t>
        </r>
      </text>
    </comment>
    <comment ref="CQ3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基本建成12307套</t>
        </r>
      </text>
    </comment>
    <comment ref="DD3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乌兰浩特城区环境空气质量优良天数比率达到95%以上</t>
        </r>
      </text>
    </comment>
    <comment ref="E32" authorId="0">
      <text>
        <r>
          <rPr>
            <b/>
            <sz val="9"/>
            <rFont val="宋体"/>
            <charset val="134"/>
          </rPr>
          <t>李凯恩:</t>
        </r>
        <r>
          <rPr>
            <sz val="9"/>
            <rFont val="宋体"/>
            <charset val="134"/>
          </rPr>
          <t xml:space="preserve">
通辽市下辖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个市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个区，一个县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个旗</t>
        </r>
      </text>
    </comment>
    <comment ref="G3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年末总人口312.4万人</t>
        </r>
      </text>
    </comment>
    <comment ref="N3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O3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T3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U3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W3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G32" authorId="0">
      <text>
        <r>
          <rPr>
            <b/>
            <sz val="9"/>
            <rFont val="宋体"/>
            <charset val="134"/>
          </rPr>
          <t>中国城市统计年鉴2015 城镇职工基本养老保险参保人数</t>
        </r>
      </text>
    </comment>
    <comment ref="AH32" authorId="0">
      <text>
        <r>
          <rPr>
            <b/>
            <sz val="9"/>
            <rFont val="宋体"/>
            <charset val="134"/>
          </rPr>
          <t>中国城市统计年鉴2015 城镇基本医疗保险参保人数</t>
        </r>
      </text>
    </comment>
    <comment ref="AO3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Q3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GDP1803.89亿元</t>
        </r>
      </text>
    </comment>
    <comment ref="AZ3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A3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D3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E3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F32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G32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I32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L32" authorId="0">
      <text>
        <r>
          <rPr>
            <b/>
            <sz val="9"/>
            <rFont val="宋体"/>
            <charset val="134"/>
          </rPr>
          <t>中国国有资产监督管理年鉴2015</t>
        </r>
      </text>
    </comment>
    <comment ref="BO32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CS32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CT32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CX32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p4 土地面积58862平方公里，林地面积14168平方公里</t>
        </r>
      </text>
    </comment>
    <comment ref="DA32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B32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C32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G3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受理169件，已审结132件</t>
        </r>
      </text>
    </comment>
    <comment ref="E33" authorId="0">
      <text>
        <r>
          <rPr>
            <b/>
            <sz val="9"/>
            <rFont val="宋体"/>
            <charset val="134"/>
          </rPr>
          <t>李凯恩:</t>
        </r>
        <r>
          <rPr>
            <sz val="9"/>
            <rFont val="宋体"/>
            <charset val="134"/>
          </rPr>
          <t xml:space="preserve">
赤峰市下辖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个旗，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个县。</t>
        </r>
      </text>
    </comment>
    <comment ref="G3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年末总人口430.38万人</t>
        </r>
      </text>
    </comment>
    <comment ref="N3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O3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T3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U3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W3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G33" authorId="0">
      <text>
        <r>
          <rPr>
            <b/>
            <sz val="9"/>
            <rFont val="宋体"/>
            <charset val="134"/>
          </rPr>
          <t>中国城市统计年鉴2015 城镇职工基本养老保险参保人数</t>
        </r>
      </text>
    </comment>
    <comment ref="AH33" authorId="0">
      <text>
        <r>
          <rPr>
            <b/>
            <sz val="9"/>
            <rFont val="宋体"/>
            <charset val="134"/>
          </rPr>
          <t>中国城市统计年鉴2015 城镇基本医疗保险参保人数</t>
        </r>
      </text>
    </comment>
    <comment ref="AO3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Q3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GDP1778.37亿元</t>
        </r>
      </text>
    </comment>
    <comment ref="AZ3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A3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D3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E3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F33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G33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L33" authorId="0">
      <text>
        <r>
          <rPr>
            <b/>
            <sz val="9"/>
            <rFont val="宋体"/>
            <charset val="134"/>
          </rPr>
          <t>中国国有资产监督管理年鉴2015</t>
        </r>
      </text>
    </comment>
    <comment ref="BO33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T33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p149:死亡202人</t>
        </r>
      </text>
    </comment>
    <comment ref="CS33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CT33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A33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B33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C33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E34" authorId="0">
      <text>
        <r>
          <rPr>
            <sz val="9"/>
            <rFont val="宋体"/>
            <charset val="134"/>
          </rPr>
          <t>李凯恩：锡林郭勒市下辖9个旗1个县。</t>
        </r>
      </text>
    </comment>
    <comment ref="T3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U3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AQ3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GDP940.58亿元</t>
        </r>
      </text>
    </comment>
    <comment ref="AZ3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A3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D3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E3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F34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G34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L34" authorId="0">
      <text>
        <r>
          <rPr>
            <b/>
            <sz val="9"/>
            <rFont val="宋体"/>
            <charset val="134"/>
          </rPr>
          <t>中国国有资产监督管理年鉴2015</t>
        </r>
      </text>
    </comment>
    <comment ref="BO34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E35" authorId="0">
      <text>
        <r>
          <rPr>
            <b/>
            <sz val="9"/>
            <rFont val="宋体"/>
            <charset val="134"/>
          </rPr>
          <t>李凯恩:</t>
        </r>
        <r>
          <rPr>
            <sz val="9"/>
            <rFont val="宋体"/>
            <charset val="134"/>
          </rPr>
          <t xml:space="preserve">
乌兰察布市下辖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个县，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>个旗。</t>
        </r>
      </text>
    </comment>
    <comment ref="G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年末总人口211.71万人</t>
        </r>
      </text>
    </comment>
    <comment ref="N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O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T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U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W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G35" authorId="0">
      <text>
        <r>
          <rPr>
            <b/>
            <sz val="9"/>
            <rFont val="宋体"/>
            <charset val="134"/>
          </rPr>
          <t>中国城市统计年鉴2015 城镇职工基本养老保险参保人数</t>
        </r>
      </text>
    </comment>
    <comment ref="AH35" authorId="0">
      <text>
        <r>
          <rPr>
            <b/>
            <sz val="9"/>
            <rFont val="宋体"/>
            <charset val="134"/>
          </rPr>
          <t>中国城市统计年鉴2015 城镇基本医疗保险参保人数</t>
        </r>
      </text>
    </comment>
    <comment ref="AO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Q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GDP873.73亿元</t>
        </r>
      </text>
    </comment>
    <comment ref="AW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群艺馆、文化馆12个</t>
        </r>
      </text>
    </comment>
    <comment ref="AZ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A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D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E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F35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G35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I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实际利用外资1.96亿美元</t>
        </r>
      </text>
    </comment>
    <comment ref="BL35" authorId="0">
      <text>
        <r>
          <rPr>
            <b/>
            <sz val="9"/>
            <rFont val="宋体"/>
            <charset val="134"/>
          </rPr>
          <t>中国国有资产监督管理年鉴2015</t>
        </r>
      </text>
    </comment>
    <comment ref="BO35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CN3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共计1077批次、8799人次</t>
        </r>
      </text>
    </comment>
    <comment ref="CS35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CT35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A35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B35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C35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E36" authorId="0">
      <text>
        <r>
          <rPr>
            <sz val="9"/>
            <rFont val="宋体"/>
            <charset val="134"/>
          </rPr>
          <t>李凯恩:
鄂尔多斯市下辖7个旗。</t>
        </r>
      </text>
    </comment>
    <comment ref="G3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年末总人口203.49万人</t>
        </r>
      </text>
    </comment>
    <comment ref="N3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O3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T3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U3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W3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G36" authorId="0">
      <text>
        <r>
          <rPr>
            <b/>
            <sz val="9"/>
            <rFont val="宋体"/>
            <charset val="134"/>
          </rPr>
          <t>中国城市统计年鉴2015 城镇职工基本养老保险参保人数</t>
        </r>
      </text>
    </comment>
    <comment ref="AH36" authorId="0">
      <text>
        <r>
          <rPr>
            <b/>
            <sz val="9"/>
            <rFont val="宋体"/>
            <charset val="134"/>
          </rPr>
          <t>中国城市统计年鉴2015 城镇基本医疗保险参保人数</t>
        </r>
      </text>
    </comment>
    <comment ref="AM3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内蒙古经济社会调查年鉴2015
3-1-17</t>
        </r>
      </text>
    </comment>
    <comment ref="AO3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Q3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GDP4055.49亿元</t>
        </r>
      </text>
    </comment>
    <comment ref="AZ3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A3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D3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E3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L36" authorId="0">
      <text>
        <r>
          <rPr>
            <b/>
            <sz val="9"/>
            <rFont val="宋体"/>
            <charset val="134"/>
          </rPr>
          <t>中国国有资产监督管理年鉴2015</t>
        </r>
      </text>
    </comment>
    <comment ref="CS36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CT36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A36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B36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C36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E37" authorId="0">
      <text>
        <r>
          <rPr>
            <b/>
            <sz val="9"/>
            <rFont val="宋体"/>
            <charset val="134"/>
          </rPr>
          <t>李凯恩:</t>
        </r>
        <r>
          <rPr>
            <sz val="9"/>
            <rFont val="宋体"/>
            <charset val="134"/>
          </rPr>
          <t xml:space="preserve">
巴彦淖尔市下辖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个县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>个旗。</t>
        </r>
      </text>
    </comment>
    <comment ref="G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年末总人口167.23万人</t>
        </r>
      </text>
    </comment>
    <comment ref="N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O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T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U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W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G37" authorId="0">
      <text>
        <r>
          <rPr>
            <b/>
            <sz val="9"/>
            <rFont val="宋体"/>
            <charset val="134"/>
          </rPr>
          <t>中国城市统计年鉴2015 城镇职工基本养老保险参保人数</t>
        </r>
      </text>
    </comment>
    <comment ref="AH37" authorId="0">
      <text>
        <r>
          <rPr>
            <b/>
            <sz val="9"/>
            <rFont val="宋体"/>
            <charset val="134"/>
          </rPr>
          <t>中国城市统计年鉴2015 城镇基本医疗保险参保人数</t>
        </r>
      </text>
    </comment>
    <comment ref="AK37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p206:通有线电视村数575户</t>
        </r>
      </text>
    </comment>
    <comment ref="AM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内蒙古经济社会调查年鉴2015
3-1-17</t>
        </r>
      </text>
    </comment>
    <comment ref="AO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Q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GDP838.56亿元</t>
        </r>
      </text>
    </comment>
    <comment ref="AZ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A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D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E3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F37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G37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L37" authorId="0">
      <text>
        <r>
          <rPr>
            <b/>
            <sz val="9"/>
            <rFont val="宋体"/>
            <charset val="134"/>
          </rPr>
          <t>中国国有资产监督管理年鉴2015</t>
        </r>
      </text>
    </comment>
    <comment ref="BO37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CS37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CT37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A37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B37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C37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K37" authorId="0">
      <text>
        <r>
          <rPr>
            <b/>
            <sz val="9"/>
            <rFont val="宋体"/>
            <charset val="134"/>
          </rPr>
          <t>巴彦淖尔政府门户网站是政府信息公开的重要平台，全年累计更新政务动态信息9802条。　通过电子政务外网平台，共发送市委、政府各类非密公文和会议通知26409件次，报送各类信息13622条，</t>
        </r>
      </text>
    </comment>
    <comment ref="G3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年末总人口55.42万人</t>
        </r>
      </text>
    </comment>
    <comment ref="N3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O3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T3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U3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W3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G38" authorId="0">
      <text>
        <r>
          <rPr>
            <b/>
            <sz val="9"/>
            <rFont val="宋体"/>
            <charset val="134"/>
          </rPr>
          <t>中国城市统计年鉴2015 城镇职工基本养老保险参保人数</t>
        </r>
      </text>
    </comment>
    <comment ref="AH38" authorId="0">
      <text>
        <r>
          <rPr>
            <b/>
            <sz val="9"/>
            <rFont val="宋体"/>
            <charset val="134"/>
          </rPr>
          <t>中国城市统计年鉴2015 城镇基本医疗保险参保人数</t>
        </r>
      </text>
    </comment>
    <comment ref="AM3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内蒙古经济社会调查年鉴2015
3-1-17</t>
        </r>
      </text>
    </comment>
    <comment ref="AO3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中国城市统计年鉴2015</t>
        </r>
      </text>
    </comment>
    <comment ref="AQ3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GDP601.02亿元</t>
        </r>
      </text>
    </comment>
    <comment ref="AZ3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A3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D3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E3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F38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G38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L38" authorId="0">
      <text>
        <r>
          <rPr>
            <b/>
            <sz val="9"/>
            <rFont val="宋体"/>
            <charset val="134"/>
          </rPr>
          <t>中国国有资产监督管理年鉴2015</t>
        </r>
      </text>
    </comment>
    <comment ref="BO38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CS38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CT38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A38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B38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DC38" authorId="0">
      <text>
        <r>
          <rPr>
            <b/>
            <sz val="9"/>
            <rFont val="宋体"/>
            <charset val="134"/>
          </rPr>
          <t>中国城市统计年鉴2015</t>
        </r>
      </text>
    </comment>
    <comment ref="E39" authorId="0">
      <text>
        <r>
          <rPr>
            <b/>
            <sz val="9"/>
            <rFont val="宋体"/>
            <charset val="134"/>
          </rPr>
          <t>李凯恩:</t>
        </r>
        <r>
          <rPr>
            <sz val="9"/>
            <rFont val="宋体"/>
            <charset val="134"/>
          </rPr>
          <t xml:space="preserve">
阿拉善盟下辖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个旗。</t>
        </r>
      </text>
    </comment>
    <comment ref="T3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U3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
</t>
        </r>
      </text>
    </comment>
    <comment ref="AG39" authorId="0">
      <text>
        <r>
          <rPr>
            <b/>
            <sz val="9"/>
            <rFont val="宋体"/>
            <charset val="134"/>
          </rPr>
          <t>李凯恩:</t>
        </r>
        <r>
          <rPr>
            <sz val="9"/>
            <rFont val="宋体"/>
            <charset val="134"/>
          </rPr>
          <t>城乡居民养老保险5.2716万人</t>
        </r>
      </text>
    </comment>
    <comment ref="AH3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城镇职工医疗保险7.2205万人，城镇居民医疗保险4.2722万人</t>
        </r>
      </text>
    </comment>
    <comment ref="AK39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p87:通有线电视村数160户</t>
        </r>
      </text>
    </comment>
    <comment ref="AQ3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GDP312.63亿元</t>
        </r>
      </text>
    </comment>
    <comment ref="AZ3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A3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中国民政统计年鉴2015</t>
        </r>
      </text>
    </comment>
    <comment ref="BD3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E3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内蒙古财政年鉴2015</t>
        </r>
      </text>
    </comment>
    <comment ref="BF39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G39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L39" authorId="0">
      <text>
        <r>
          <rPr>
            <b/>
            <sz val="9"/>
            <rFont val="宋体"/>
            <charset val="134"/>
          </rPr>
          <t>中国国有资产监督管理年鉴2015</t>
        </r>
      </text>
    </comment>
    <comment ref="BO39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乌海统计年鉴2015</t>
        </r>
      </text>
    </comment>
    <comment ref="BT3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发生生产安全事故200起，死亡33人</t>
        </r>
      </text>
    </comment>
    <comment ref="CK3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成功率99.7%</t>
        </r>
      </text>
    </comment>
    <comment ref="CN3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共受理群众来信来访2523批16180件人次</t>
        </r>
      </text>
    </comment>
    <comment ref="CQ3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新开工各类保障性住房1464套，基本建成1848套。</t>
        </r>
      </text>
    </comment>
    <comment ref="DD3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优良天数350天</t>
        </r>
      </text>
    </comment>
    <comment ref="DK39" authorId="0">
      <text>
        <r>
          <rPr>
            <b/>
            <sz val="9"/>
            <rFont val="宋体"/>
            <charset val="134"/>
          </rPr>
          <t>3800余条</t>
        </r>
      </text>
    </comment>
    <comment ref="DL3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2014年，通过阿拉善盟门户网站共转载和发布当年区内外各类信息共计3899条;通知公告67条，发布地方性文件45个;在"阿拉善视窗"栏目上，共发布1243个视频信息，阿拉善新闻1228条，部门视频信息15条;通过盟门户网站的"盟长信箱"栏目共转呈盟领导批示办理群众来信19件;各旗区全部开通了政务微博或微信公众平台，累计发布政务动态信息6000余条;通过旗区门户网站发布各类地方性文件、通知公告等各类信息共计2.4万余条。通过政府公报《阿拉善政报》发布盟政府规章文件31件，每期向社会赠阅政府公报1200册</t>
        </r>
      </text>
    </comment>
  </commentList>
</comments>
</file>

<file path=xl/comments2.xml><?xml version="1.0" encoding="utf-8"?>
<comments xmlns="http://schemas.openxmlformats.org/spreadsheetml/2006/main">
  <authors>
    <author>作者</author>
    <author>13518</author>
    <author>刘朋朋</author>
    <author>丛瑞安</author>
    <author>lenovo</author>
  </authors>
  <commentList>
    <comment ref="C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D1" authorId="0">
      <text>
        <r>
          <rPr>
            <b/>
            <sz val="9"/>
            <rFont val="宋体"/>
            <charset val="134"/>
          </rPr>
          <t>课题组：
数据来源：地方统计年鉴2015</t>
        </r>
      </text>
    </comment>
    <comment ref="E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F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G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H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I1" authorId="0">
      <text>
        <r>
          <rPr>
            <b/>
            <sz val="9"/>
            <rFont val="宋体"/>
            <charset val="134"/>
          </rPr>
          <t>课题组：
数据来源：地方统计年鉴2015</t>
        </r>
      </text>
    </comment>
    <comment ref="L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M1" authorId="0">
      <text>
        <r>
          <rPr>
            <b/>
            <sz val="9"/>
            <rFont val="宋体"/>
            <charset val="134"/>
          </rPr>
          <t>课题组：
数据来源：地方统计年鉴2015</t>
        </r>
      </text>
    </comment>
    <comment ref="Q1" authorId="0">
      <text>
        <r>
          <rPr>
            <b/>
            <sz val="9"/>
            <rFont val="宋体"/>
            <charset val="134"/>
          </rPr>
          <t>课题组：
数据来源：地方统计年鉴2015</t>
        </r>
      </text>
    </comment>
    <comment ref="R1" authorId="0">
      <text>
        <r>
          <rPr>
            <b/>
            <sz val="9"/>
            <rFont val="宋体"/>
            <charset val="134"/>
          </rPr>
          <t>课题组：
数据来源：地方统计年鉴2015</t>
        </r>
      </text>
    </comment>
    <comment ref="S1" authorId="0">
      <text>
        <r>
          <rPr>
            <b/>
            <sz val="9"/>
            <rFont val="宋体"/>
            <charset val="134"/>
          </rPr>
          <t>课题组：
数据来源：地方统计年鉴2015</t>
        </r>
      </text>
    </comment>
    <comment ref="T1" authorId="0">
      <text>
        <r>
          <rPr>
            <b/>
            <sz val="9"/>
            <rFont val="宋体"/>
            <charset val="134"/>
          </rPr>
          <t>课题组：
数据来源：地方统计年鉴2015</t>
        </r>
      </text>
    </comment>
    <comment ref="U1" authorId="0">
      <text>
        <r>
          <rPr>
            <b/>
            <sz val="9"/>
            <rFont val="宋体"/>
            <charset val="134"/>
          </rPr>
          <t>课题组：
数据来源：地方统计年鉴2015</t>
        </r>
      </text>
    </comment>
    <comment ref="V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W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Y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A1" authorId="0">
      <text>
        <r>
          <rPr>
            <b/>
            <sz val="9"/>
            <rFont val="宋体"/>
            <charset val="134"/>
          </rPr>
          <t>课题组：
数据来源：地方统计年鉴2015</t>
        </r>
      </text>
    </comment>
    <comment ref="AB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C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D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E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F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G1" authorId="0">
      <text>
        <r>
          <rPr>
            <b/>
            <sz val="9"/>
            <rFont val="宋体"/>
            <charset val="134"/>
          </rPr>
          <t>课题组：
数据来源：地方统计年鉴2015</t>
        </r>
      </text>
    </comment>
    <comment ref="AH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I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J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K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L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M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N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O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P1" authorId="0">
      <text>
        <r>
          <rPr>
            <b/>
            <sz val="9"/>
            <rFont val="宋体"/>
            <charset val="134"/>
          </rPr>
          <t>课题组：
数据集中来源：中国城市统计年鉴2015，涉及地区和州的查阅地方统计年鉴</t>
        </r>
      </text>
    </comment>
    <comment ref="AQ1" authorId="0">
      <text>
        <r>
          <rPr>
            <b/>
            <sz val="9"/>
            <rFont val="宋体"/>
            <charset val="134"/>
          </rPr>
          <t>课题组：
数据来源：地方统计年鉴2015</t>
        </r>
      </text>
    </comment>
    <comment ref="D7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来自河北经济年鉴</t>
        </r>
      </text>
    </comment>
    <comment ref="I7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J7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K7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M7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O7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Q7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R7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AA7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AG7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D8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来自河北经济年鉴</t>
        </r>
      </text>
    </comment>
    <comment ref="AA10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D11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来自河北经济年鉴</t>
        </r>
      </text>
    </comment>
    <comment ref="I11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张家口经济年鉴</t>
        </r>
      </text>
    </comment>
    <comment ref="J11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张家口经济年鉴</t>
        </r>
      </text>
    </comment>
    <comment ref="K11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张家口经济年鉴</t>
        </r>
      </text>
    </comment>
    <comment ref="M11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N11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张家口经济年鉴</t>
        </r>
      </text>
    </comment>
    <comment ref="O11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P11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张家口经济年鉴</t>
        </r>
      </text>
    </comment>
    <comment ref="Q11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R11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U11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张家口经济年鉴</t>
        </r>
      </text>
    </comment>
    <comment ref="AA11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AG11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AA12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D13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来自河北经济年鉴</t>
        </r>
      </text>
    </comment>
    <comment ref="I13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J13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K13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Q13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R13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AA13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AG13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D14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I14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来自廊坊经济统计年鉴</t>
        </r>
      </text>
    </comment>
    <comment ref="J14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来自廊坊经济统计年鉴</t>
        </r>
      </text>
    </comment>
    <comment ref="K14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来自廊坊经济统计年鉴</t>
        </r>
      </text>
    </comment>
    <comment ref="Q14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来自廊坊经济统计年鉴</t>
        </r>
      </text>
    </comment>
    <comment ref="R14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来自廊坊经济统计年鉴</t>
        </r>
      </text>
    </comment>
    <comment ref="AA14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来自廊坊经济统计年鉴</t>
        </r>
      </text>
    </comment>
    <comment ref="AG14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来自廊坊经济统计年鉴</t>
        </r>
      </text>
    </comment>
    <comment ref="AQ14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来自廊坊经济统计年鉴</t>
        </r>
      </text>
    </comment>
    <comment ref="D15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I15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J15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K15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河北财政年鉴2015</t>
        </r>
      </text>
    </comment>
    <comment ref="Q15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R15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AA15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AG15" authorId="1">
      <text>
        <r>
          <rPr>
            <b/>
            <sz val="9"/>
            <rFont val="宋体"/>
            <charset val="134"/>
          </rPr>
          <t>13518:</t>
        </r>
        <r>
          <rPr>
            <sz val="9"/>
            <rFont val="宋体"/>
            <charset val="134"/>
          </rPr>
          <t xml:space="preserve">
河北经济年鉴</t>
        </r>
      </text>
    </comment>
    <comment ref="AK15" authorId="2">
      <text>
        <r>
          <rPr>
            <b/>
            <sz val="9"/>
            <rFont val="宋体"/>
            <charset val="134"/>
          </rPr>
          <t>刘朋朋:</t>
        </r>
        <r>
          <rPr>
            <sz val="9"/>
            <rFont val="宋体"/>
            <charset val="134"/>
          </rPr>
          <t xml:space="preserve">
城镇登记失业率3.68%</t>
        </r>
      </text>
    </comment>
    <comment ref="C31" authorId="3">
      <text>
        <r>
          <rPr>
            <b/>
            <sz val="9"/>
            <rFont val="宋体"/>
            <charset val="134"/>
          </rPr>
          <t>丛瑞安:</t>
        </r>
        <r>
          <rPr>
            <sz val="9"/>
            <rFont val="宋体"/>
            <charset val="134"/>
          </rPr>
          <t xml:space="preserve">
内蒙古统计年鉴数据位59500，差距大</t>
        </r>
      </text>
    </comment>
    <comment ref="AL33" authorId="3">
      <text>
        <r>
          <rPr>
            <b/>
            <sz val="9"/>
            <rFont val="宋体"/>
            <charset val="134"/>
          </rPr>
          <t>丛瑞安:</t>
        </r>
        <r>
          <rPr>
            <sz val="9"/>
            <rFont val="宋体"/>
            <charset val="134"/>
          </rPr>
          <t xml:space="preserve">
总面积1737.05万平方米</t>
        </r>
      </text>
    </comment>
    <comment ref="E35" authorId="4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存疑</t>
        </r>
      </text>
    </comment>
    <comment ref="AL35" authorId="4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存疑</t>
        </r>
      </text>
    </comment>
    <comment ref="R36" authorId="4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此数据为农村居民人均可支配收入
</t>
        </r>
      </text>
    </comment>
    <comment ref="AQ36" authorId="4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此数据为单位从业人员年末人数</t>
        </r>
      </text>
    </comment>
    <comment ref="R37" authorId="4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此数据为农村居民人均可支配收入</t>
        </r>
      </text>
    </comment>
    <comment ref="V38" authorId="4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 接入互联网的计算机46.9台，接入互联网的移动电话85.85部</t>
        </r>
      </text>
    </comment>
    <comment ref="AK38" authorId="4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此数据为失业人员累计人数，失业率3.26</t>
        </r>
      </text>
    </comment>
  </commentList>
</comments>
</file>

<file path=xl/sharedStrings.xml><?xml version="1.0" encoding="utf-8"?>
<sst xmlns="http://schemas.openxmlformats.org/spreadsheetml/2006/main" count="1703" uniqueCount="254">
  <si>
    <t>A</t>
  </si>
  <si>
    <t>城市</t>
  </si>
  <si>
    <t>所辖市区县个数</t>
  </si>
  <si>
    <t>城镇户籍人口</t>
  </si>
  <si>
    <t>农业人口</t>
  </si>
  <si>
    <t>年末实有企业数</t>
  </si>
  <si>
    <t>高新技术企业</t>
  </si>
  <si>
    <t>采矿（掘)业就业人员人数</t>
  </si>
  <si>
    <t>制造业就业人员人数</t>
  </si>
  <si>
    <t>采矿（掘)业在岗职工人数</t>
  </si>
  <si>
    <t>制造业在岗职工人数</t>
  </si>
  <si>
    <t>财政总支出</t>
  </si>
  <si>
    <t>一般预算支出</t>
  </si>
  <si>
    <t>园林绿地面积</t>
  </si>
  <si>
    <t>专利授权量</t>
  </si>
  <si>
    <t>城镇单位职工工资总额</t>
  </si>
  <si>
    <t>社会从业
人员</t>
  </si>
  <si>
    <t>机关单位</t>
  </si>
  <si>
    <t>公共管理和社会组织工资总额</t>
  </si>
  <si>
    <t>公共管理和社会组织在岗职工人数</t>
  </si>
  <si>
    <t>取缔无照经营个数</t>
  </si>
  <si>
    <t>查处取缔无照经营个数</t>
  </si>
  <si>
    <t>参保人数</t>
  </si>
  <si>
    <t>户数统计</t>
  </si>
  <si>
    <t>刑事案件立案件数</t>
  </si>
  <si>
    <t>刑事案件破案件数</t>
  </si>
  <si>
    <t>二氧化硫排放总量</t>
  </si>
  <si>
    <t>R&amp;D经费数</t>
  </si>
  <si>
    <t>R&amp;D经费与GDP之比</t>
  </si>
  <si>
    <t>自来水受益村数</t>
  </si>
  <si>
    <t>村委会个数</t>
  </si>
  <si>
    <t>受理信访举报案件数</t>
  </si>
  <si>
    <t>文化馆</t>
  </si>
  <si>
    <t>博物馆</t>
  </si>
  <si>
    <t>群众艺术馆</t>
  </si>
  <si>
    <t>文化艺术团体</t>
  </si>
  <si>
    <t>体育馆</t>
  </si>
  <si>
    <t>城镇最低生活保障人数</t>
  </si>
  <si>
    <t>农村最低生活保障人数</t>
  </si>
  <si>
    <t>贪污贿赂人数</t>
  </si>
  <si>
    <t>渎职侵权人数</t>
  </si>
  <si>
    <t>财政总收入</t>
  </si>
  <si>
    <t>财政总收入增长率</t>
  </si>
  <si>
    <t>固定资产投资总额增长率</t>
  </si>
  <si>
    <t>全社会消费品零售总额增长率</t>
  </si>
  <si>
    <t>进出口总额增长率</t>
  </si>
  <si>
    <t>实际利用外资金额增长率</t>
  </si>
  <si>
    <t>规模以上工业企业增加值</t>
  </si>
  <si>
    <t>规模以上工业企业产值增加值增长率</t>
  </si>
  <si>
    <t>国有资产保值增值率</t>
  </si>
  <si>
    <t>万元GDP综合能源消耗</t>
  </si>
  <si>
    <t>万元GDP综合能源消耗降低率</t>
  </si>
  <si>
    <t>城镇化率</t>
  </si>
  <si>
    <t>城镇家庭居民人均可支配收入增长率</t>
  </si>
  <si>
    <t>农村家庭居民人均纯收入增长率</t>
  </si>
  <si>
    <t>居民消费价格指数CPI</t>
  </si>
  <si>
    <t>工业品出厂价格指数PPI</t>
  </si>
  <si>
    <t>亿元GDP生产安全事故死亡率</t>
  </si>
  <si>
    <t>十万人工矿商贸从业人员事故死亡率</t>
  </si>
  <si>
    <t>食品质量抽样检测合格率</t>
  </si>
  <si>
    <t>药品安全抽样合格率</t>
  </si>
  <si>
    <t>工业产品质量抽样合格率</t>
  </si>
  <si>
    <t>查处农资违法案件的数量</t>
  </si>
  <si>
    <t>查办各类经济违法案件的数量</t>
  </si>
  <si>
    <t>查办违法广告的件数</t>
  </si>
  <si>
    <t>查办商标侵权案件的件数</t>
  </si>
  <si>
    <t>消费者维权案件办理率</t>
  </si>
  <si>
    <t>出生人口性别比</t>
  </si>
  <si>
    <t>人口出生率</t>
  </si>
  <si>
    <t>符合政策生育率</t>
  </si>
  <si>
    <t>年末实有社会组织登记数量</t>
  </si>
  <si>
    <t>万人刑事案件发案件数</t>
  </si>
  <si>
    <t>调处各类矛盾纠纷件数</t>
  </si>
  <si>
    <t>成功调处各类矛盾纠纷数</t>
  </si>
  <si>
    <t>受理各类法律援助案件的数量</t>
  </si>
  <si>
    <t>火灾死亡人数</t>
  </si>
  <si>
    <t>接待群众来信来访人次</t>
  </si>
  <si>
    <t>城镇新增就业人数</t>
  </si>
  <si>
    <t>农村养老保险覆盖率</t>
  </si>
  <si>
    <t>新建各类保障性住房面积</t>
  </si>
  <si>
    <t>农村自来水覆盖率（农村安全饮水覆盖率）</t>
  </si>
  <si>
    <t>人均拥有道路面积</t>
  </si>
  <si>
    <t>每万人拥有公交汽车数量</t>
  </si>
  <si>
    <t>有线电视入户率</t>
  </si>
  <si>
    <t>高中阶段毛入学率</t>
  </si>
  <si>
    <t>新农合参合率</t>
  </si>
  <si>
    <t>森林覆盖率</t>
  </si>
  <si>
    <t>水土流失治理面积</t>
  </si>
  <si>
    <t>工业废水排放达标率</t>
  </si>
  <si>
    <t>工业固体废弃物综合利用率</t>
  </si>
  <si>
    <t>生活垃圾无害化处理率</t>
  </si>
  <si>
    <t>城镇生活污水处理率</t>
  </si>
  <si>
    <t>城市空气质量指数</t>
  </si>
  <si>
    <t>城市区域环境噪音指数（市区区域环境噪音平均等效声级值）</t>
  </si>
  <si>
    <t>违法违纪发案件数</t>
  </si>
  <si>
    <t>行政复议案件办结率</t>
  </si>
  <si>
    <t>行政复议案件申请量</t>
  </si>
  <si>
    <t>受理行政诉讼的案件数量</t>
  </si>
  <si>
    <t>被依法追究责任的领导干部个数</t>
  </si>
  <si>
    <t>主动公开政府信息件数</t>
  </si>
  <si>
    <t>主动公开政府信息增长率</t>
  </si>
  <si>
    <t>依申请公开政府信息件数</t>
  </si>
  <si>
    <t>依申请公开政府信息增长率</t>
  </si>
  <si>
    <t>因公开问题申请行政复议的数量</t>
  </si>
  <si>
    <t>市</t>
  </si>
  <si>
    <t>区</t>
  </si>
  <si>
    <t>县</t>
  </si>
  <si>
    <t xml:space="preserve"> 个体工商户</t>
  </si>
  <si>
    <t>内资企业</t>
  </si>
  <si>
    <t>外资企业</t>
  </si>
  <si>
    <t>私营企业</t>
  </si>
  <si>
    <t>产值</t>
  </si>
  <si>
    <t>增加值</t>
  </si>
  <si>
    <t>一般公共服务支出</t>
  </si>
  <si>
    <t>公共安全支出</t>
  </si>
  <si>
    <t>文化体育传媒支出</t>
  </si>
  <si>
    <t>环保支出</t>
  </si>
  <si>
    <t>工资总额</t>
  </si>
  <si>
    <t>就业人数</t>
  </si>
  <si>
    <t>城镇养老保险参保人数</t>
  </si>
  <si>
    <t>城镇医疗保险参保人数</t>
  </si>
  <si>
    <t>农村养老保险参保人数</t>
  </si>
  <si>
    <t>总户数</t>
  </si>
  <si>
    <t>有线电视用户数</t>
  </si>
  <si>
    <t>互联网用户数</t>
  </si>
  <si>
    <t>2012年</t>
  </si>
  <si>
    <t>2011年</t>
  </si>
  <si>
    <t>2013年</t>
  </si>
  <si>
    <t>2014年</t>
  </si>
  <si>
    <t>个</t>
  </si>
  <si>
    <t>万人</t>
  </si>
  <si>
    <t>户（个）</t>
  </si>
  <si>
    <t>亿元</t>
  </si>
  <si>
    <t>公顷</t>
  </si>
  <si>
    <t>件</t>
  </si>
  <si>
    <t>万元</t>
  </si>
  <si>
    <t>人</t>
  </si>
  <si>
    <t>万户</t>
  </si>
  <si>
    <t>吨</t>
  </si>
  <si>
    <t>%</t>
  </si>
  <si>
    <t>吨标准煤／万元</t>
  </si>
  <si>
    <t>人/亿元</t>
  </si>
  <si>
    <t>人/10万人</t>
  </si>
  <si>
    <t>‰</t>
  </si>
  <si>
    <t>件/万人</t>
  </si>
  <si>
    <t>件次</t>
  </si>
  <si>
    <t>万平方米</t>
  </si>
  <si>
    <t>平方米/人</t>
  </si>
  <si>
    <t>辆/万人</t>
  </si>
  <si>
    <t>分贝</t>
  </si>
  <si>
    <t>京</t>
  </si>
  <si>
    <t>北京</t>
  </si>
  <si>
    <t>津</t>
  </si>
  <si>
    <t>天津</t>
  </si>
  <si>
    <t>6.1万套</t>
  </si>
  <si>
    <t>冀</t>
  </si>
  <si>
    <t>石家庄市</t>
  </si>
  <si>
    <t>2.7万套</t>
  </si>
  <si>
    <t>唐山市</t>
  </si>
  <si>
    <t>1.39万套</t>
  </si>
  <si>
    <t>秦皇岛市</t>
  </si>
  <si>
    <t>11014套</t>
  </si>
  <si>
    <t>邯郸市</t>
  </si>
  <si>
    <t>16537套</t>
  </si>
  <si>
    <t>邢台市</t>
  </si>
  <si>
    <t>保定市</t>
  </si>
  <si>
    <t>张家口市</t>
  </si>
  <si>
    <t>承德市</t>
  </si>
  <si>
    <t>沧州市</t>
  </si>
  <si>
    <t>18674套</t>
  </si>
  <si>
    <t>廊坊市</t>
  </si>
  <si>
    <t>13649套</t>
  </si>
  <si>
    <t>衡水市</t>
  </si>
  <si>
    <t>晋</t>
  </si>
  <si>
    <t>太原市</t>
  </si>
  <si>
    <t>48270套</t>
  </si>
  <si>
    <t>大同市</t>
  </si>
  <si>
    <t>46621套</t>
  </si>
  <si>
    <t>阳泉市</t>
  </si>
  <si>
    <t>6511套</t>
  </si>
  <si>
    <t>长治市</t>
  </si>
  <si>
    <t>12486套</t>
  </si>
  <si>
    <t>晋城市</t>
  </si>
  <si>
    <t>15000套</t>
  </si>
  <si>
    <t>朔州市</t>
  </si>
  <si>
    <t>12866套</t>
  </si>
  <si>
    <t>晋中市</t>
  </si>
  <si>
    <t>13529套</t>
  </si>
  <si>
    <t>运城市</t>
  </si>
  <si>
    <t>12430套</t>
  </si>
  <si>
    <t>忻州市</t>
  </si>
  <si>
    <t>临汾市</t>
  </si>
  <si>
    <t>18682套</t>
  </si>
  <si>
    <t>吕梁市</t>
  </si>
  <si>
    <t>20568套</t>
  </si>
  <si>
    <t>蒙</t>
  </si>
  <si>
    <t>呼和浩特市</t>
  </si>
  <si>
    <t>包头市</t>
  </si>
  <si>
    <t>呼伦贝尔市</t>
  </si>
  <si>
    <t>兴安盟</t>
  </si>
  <si>
    <t>通辽市</t>
  </si>
  <si>
    <t>赤峰市</t>
  </si>
  <si>
    <t>锡林郭勒盟</t>
  </si>
  <si>
    <t>乌兰察布市</t>
  </si>
  <si>
    <t>鄂尔多斯市</t>
  </si>
  <si>
    <t>巴彥淖尔市</t>
  </si>
  <si>
    <t>乌海市</t>
  </si>
  <si>
    <t>阿拉善盟</t>
  </si>
  <si>
    <t>省域简称</t>
  </si>
  <si>
    <t>地级市名称</t>
  </si>
  <si>
    <t>辖区面积</t>
  </si>
  <si>
    <t>常住人口</t>
  </si>
  <si>
    <t>年底总人口</t>
  </si>
  <si>
    <t>卫生技术人员数量</t>
  </si>
  <si>
    <t>医疗机构病床数</t>
  </si>
  <si>
    <t>地方财政一般预算支出</t>
  </si>
  <si>
    <t>城镇就业人数</t>
  </si>
  <si>
    <t>消费支出</t>
  </si>
  <si>
    <t>城镇居民人均可支配收入</t>
  </si>
  <si>
    <t>农村居民人均纯收入</t>
  </si>
  <si>
    <t>城镇恩格尔系数</t>
  </si>
  <si>
    <t>农村恩格尔系数</t>
  </si>
  <si>
    <t>年底总户数</t>
  </si>
  <si>
    <t>互联网宽带接入用户数</t>
  </si>
  <si>
    <t>专任教师数</t>
  </si>
  <si>
    <t>在校生人数</t>
  </si>
  <si>
    <t>文化体育基础设施</t>
  </si>
  <si>
    <t>GDP</t>
  </si>
  <si>
    <t>人均GDP</t>
  </si>
  <si>
    <t>GDP增长率</t>
  </si>
  <si>
    <t>固定资产投资总额</t>
  </si>
  <si>
    <t>全社会消费品零售总额</t>
  </si>
  <si>
    <t>进出口总额</t>
  </si>
  <si>
    <t>实际利用外资金额</t>
  </si>
  <si>
    <t>第二产业增加值占GDP（增量）比重</t>
  </si>
  <si>
    <t>第三产业增加值占GDP（增量）比重</t>
  </si>
  <si>
    <t>城镇登记失业人员数</t>
  </si>
  <si>
    <t>全社会就业人员数</t>
  </si>
  <si>
    <t>城镇登记失业率</t>
  </si>
  <si>
    <t>社会保障和就业支出</t>
  </si>
  <si>
    <t>教育支出</t>
  </si>
  <si>
    <t>医疗卫生支出</t>
  </si>
  <si>
    <t>城镇单位职工总数（城镇单位就业人数+城镇私营就业人数））</t>
  </si>
  <si>
    <t>城镇居民人均消费支出</t>
  </si>
  <si>
    <t>城镇食品支出</t>
  </si>
  <si>
    <t>农村居民人均消费支出</t>
  </si>
  <si>
    <t>农村食品支出</t>
  </si>
  <si>
    <t>普通小学</t>
  </si>
  <si>
    <t>普通中学</t>
  </si>
  <si>
    <t>公共图书馆</t>
  </si>
  <si>
    <t>平方公里</t>
  </si>
  <si>
    <t>张</t>
  </si>
  <si>
    <t>元</t>
  </si>
  <si>
    <t>万美元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</si>
</sst>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0_);[Red]\(0.000\)"/>
  </numFmts>
  <fonts count="47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color indexed="62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</font>
    <font>
      <b/>
      <sz val="12"/>
      <color indexed="9"/>
      <name val="宋体"/>
      <charset val="134"/>
    </font>
    <font>
      <sz val="11"/>
      <color indexed="9"/>
      <name val="宋体"/>
      <charset val="134"/>
    </font>
    <font>
      <sz val="12"/>
      <color indexed="8"/>
      <name val="宋体"/>
      <charset val="134"/>
      <scheme val="major"/>
    </font>
    <font>
      <sz val="12"/>
      <color theme="1"/>
      <name val="宋体"/>
      <charset val="134"/>
      <scheme val="minor"/>
    </font>
    <font>
      <sz val="12"/>
      <color indexed="0"/>
      <name val="宋体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theme="0"/>
      <name val="宋体"/>
      <charset val="134"/>
    </font>
    <font>
      <sz val="11"/>
      <color rgb="FF000000"/>
      <name val="宋体"/>
      <charset val="134"/>
    </font>
    <font>
      <i/>
      <sz val="11"/>
      <color rgb="FFFF0000"/>
      <name val="宋体"/>
      <charset val="134"/>
    </font>
    <font>
      <sz val="10.5"/>
      <color theme="0"/>
      <name val="宋体"/>
      <charset val="134"/>
    </font>
    <font>
      <sz val="11"/>
      <color rgb="FFFF0000"/>
      <name val="宋体"/>
      <charset val="134"/>
    </font>
    <font>
      <i/>
      <sz val="11"/>
      <color indexed="9"/>
      <name val="宋体"/>
      <charset val="134"/>
    </font>
    <font>
      <sz val="12"/>
      <color rgb="FF000000"/>
      <name val="宋体"/>
      <charset val="134"/>
    </font>
    <font>
      <sz val="11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0"/>
      <name val="宋体"/>
      <charset val="134"/>
    </font>
    <font>
      <sz val="11"/>
      <color theme="1"/>
      <name val="等线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1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1" borderId="9" applyNumberFormat="0" applyAlignment="0" applyProtection="0">
      <alignment vertical="center"/>
    </xf>
    <xf numFmtId="0" fontId="30" fillId="22" borderId="10" applyNumberFormat="0" applyAlignment="0" applyProtection="0">
      <alignment vertical="center"/>
    </xf>
    <xf numFmtId="0" fontId="31" fillId="22" borderId="9" applyNumberFormat="0" applyAlignment="0" applyProtection="0">
      <alignment vertical="center"/>
    </xf>
    <xf numFmtId="0" fontId="32" fillId="23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8" fillId="0" borderId="0"/>
    <xf numFmtId="0" fontId="1" fillId="0" borderId="0"/>
    <xf numFmtId="0" fontId="40" fillId="0" borderId="0">
      <alignment vertical="center"/>
    </xf>
    <xf numFmtId="0" fontId="0" fillId="0" borderId="0"/>
    <xf numFmtId="0" fontId="0" fillId="0" borderId="0">
      <alignment vertical="center"/>
    </xf>
    <xf numFmtId="0" fontId="41" fillId="0" borderId="0"/>
  </cellStyleXfs>
  <cellXfs count="109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left" vertical="center" wrapText="1"/>
    </xf>
    <xf numFmtId="176" fontId="1" fillId="3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5" fillId="4" borderId="1" xfId="5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Alignment="1">
      <alignment horizontal="center" vertical="center"/>
    </xf>
    <xf numFmtId="176" fontId="3" fillId="5" borderId="1" xfId="50" applyNumberFormat="1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 wrapText="1"/>
    </xf>
    <xf numFmtId="176" fontId="3" fillId="7" borderId="1" xfId="54" applyNumberFormat="1" applyFont="1" applyFill="1" applyBorder="1" applyAlignment="1">
      <alignment horizontal="center" vertical="center"/>
    </xf>
    <xf numFmtId="176" fontId="1" fillId="8" borderId="1" xfId="0" applyNumberFormat="1" applyFont="1" applyFill="1" applyBorder="1" applyAlignment="1">
      <alignment vertical="center"/>
    </xf>
    <xf numFmtId="176" fontId="1" fillId="9" borderId="1" xfId="0" applyNumberFormat="1" applyFont="1" applyFill="1" applyBorder="1" applyAlignment="1">
      <alignment vertical="center" wrapText="1"/>
    </xf>
    <xf numFmtId="176" fontId="1" fillId="9" borderId="1" xfId="0" applyNumberFormat="1" applyFont="1" applyFill="1" applyBorder="1" applyAlignment="1">
      <alignment horizontal="center" vertical="center" wrapText="1"/>
    </xf>
    <xf numFmtId="176" fontId="1" fillId="10" borderId="1" xfId="0" applyNumberFormat="1" applyFont="1" applyFill="1" applyBorder="1" applyAlignment="1">
      <alignment vertical="center"/>
    </xf>
    <xf numFmtId="176" fontId="7" fillId="5" borderId="1" xfId="5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177" fontId="1" fillId="8" borderId="1" xfId="0" applyNumberFormat="1" applyFont="1" applyFill="1" applyBorder="1" applyAlignment="1">
      <alignment horizontal="center" vertical="center" wrapText="1"/>
    </xf>
    <xf numFmtId="177" fontId="1" fillId="8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177" fontId="1" fillId="9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vertical="center"/>
    </xf>
    <xf numFmtId="177" fontId="8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8" fillId="0" borderId="0" xfId="49"/>
    <xf numFmtId="176" fontId="3" fillId="0" borderId="3" xfId="52" applyNumberFormat="1" applyFont="1" applyBorder="1" applyAlignment="1">
      <alignment horizontal="center" vertical="center" wrapText="1"/>
    </xf>
    <xf numFmtId="176" fontId="3" fillId="0" borderId="1" xfId="52" applyNumberFormat="1" applyFont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176" fontId="9" fillId="0" borderId="1" xfId="51" applyNumberFormat="1" applyFont="1" applyBorder="1" applyAlignment="1">
      <alignment horizontal="center" vertical="center" wrapText="1"/>
    </xf>
    <xf numFmtId="176" fontId="10" fillId="11" borderId="1" xfId="51" applyNumberFormat="1" applyFont="1" applyFill="1" applyBorder="1" applyAlignment="1">
      <alignment horizontal="center" vertical="center" wrapText="1"/>
    </xf>
    <xf numFmtId="176" fontId="9" fillId="10" borderId="1" xfId="51" applyNumberFormat="1" applyFont="1" applyFill="1" applyBorder="1" applyAlignment="1">
      <alignment horizontal="center" vertical="center" wrapText="1"/>
    </xf>
    <xf numFmtId="176" fontId="11" fillId="10" borderId="1" xfId="51" applyNumberFormat="1" applyFont="1" applyFill="1" applyBorder="1" applyAlignment="1">
      <alignment horizontal="center" vertical="center" wrapText="1"/>
    </xf>
    <xf numFmtId="176" fontId="11" fillId="0" borderId="1" xfId="51" applyNumberFormat="1" applyFont="1" applyBorder="1" applyAlignment="1">
      <alignment horizontal="center" vertical="center" wrapText="1"/>
    </xf>
    <xf numFmtId="176" fontId="3" fillId="0" borderId="4" xfId="52" applyNumberFormat="1" applyFont="1" applyBorder="1" applyAlignment="1">
      <alignment horizontal="center" vertical="center" wrapText="1"/>
    </xf>
    <xf numFmtId="176" fontId="9" fillId="12" borderId="1" xfId="51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/>
    </xf>
    <xf numFmtId="176" fontId="13" fillId="13" borderId="1" xfId="50" applyNumberFormat="1" applyFont="1" applyFill="1" applyBorder="1" applyAlignment="1">
      <alignment horizontal="left" vertical="center"/>
    </xf>
    <xf numFmtId="176" fontId="14" fillId="14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6" fillId="15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/>
    <xf numFmtId="176" fontId="10" fillId="0" borderId="1" xfId="0" applyNumberFormat="1" applyFont="1" applyFill="1" applyBorder="1" applyAlignment="1"/>
    <xf numFmtId="176" fontId="15" fillId="0" borderId="1" xfId="0" applyNumberFormat="1" applyFont="1" applyFill="1" applyBorder="1" applyAlignment="1">
      <alignment horizontal="left"/>
    </xf>
    <xf numFmtId="176" fontId="4" fillId="0" borderId="0" xfId="0" applyNumberFormat="1" applyFont="1" applyFill="1" applyAlignment="1"/>
    <xf numFmtId="176" fontId="16" fillId="16" borderId="1" xfId="0" applyNumberFormat="1" applyFont="1" applyFill="1" applyBorder="1" applyAlignment="1">
      <alignment horizontal="center" vertical="center" wrapText="1"/>
    </xf>
    <xf numFmtId="176" fontId="15" fillId="2" borderId="1" xfId="0" applyNumberFormat="1" applyFont="1" applyFill="1" applyBorder="1" applyAlignment="1">
      <alignment horizontal="left" vertical="center" wrapText="1"/>
    </xf>
    <xf numFmtId="176" fontId="3" fillId="5" borderId="1" xfId="50" applyNumberFormat="1" applyFont="1" applyFill="1" applyBorder="1" applyAlignment="1">
      <alignment horizontal="left" vertical="center"/>
    </xf>
    <xf numFmtId="176" fontId="6" fillId="6" borderId="1" xfId="0" applyNumberFormat="1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center"/>
    </xf>
    <xf numFmtId="176" fontId="18" fillId="6" borderId="1" xfId="0" applyNumberFormat="1" applyFont="1" applyFill="1" applyBorder="1" applyAlignment="1">
      <alignment horizontal="left" vertical="center" wrapText="1"/>
    </xf>
    <xf numFmtId="176" fontId="15" fillId="6" borderId="1" xfId="0" applyNumberFormat="1" applyFont="1" applyFill="1" applyBorder="1" applyAlignment="1">
      <alignment horizontal="left" vertical="center" wrapText="1"/>
    </xf>
    <xf numFmtId="176" fontId="15" fillId="9" borderId="1" xfId="0" applyNumberFormat="1" applyFont="1" applyFill="1" applyBorder="1" applyAlignment="1">
      <alignment horizontal="left" vertical="center" wrapText="1"/>
    </xf>
    <xf numFmtId="176" fontId="3" fillId="7" borderId="1" xfId="52" applyNumberFormat="1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center"/>
    </xf>
    <xf numFmtId="176" fontId="6" fillId="17" borderId="1" xfId="0" applyNumberFormat="1" applyFont="1" applyFill="1" applyBorder="1" applyAlignment="1">
      <alignment horizontal="center" vertical="center" wrapText="1"/>
    </xf>
    <xf numFmtId="176" fontId="17" fillId="14" borderId="1" xfId="0" applyNumberFormat="1" applyFont="1" applyFill="1" applyBorder="1" applyAlignment="1">
      <alignment horizontal="center" vertical="center" wrapText="1"/>
    </xf>
    <xf numFmtId="176" fontId="17" fillId="6" borderId="1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/>
    </xf>
    <xf numFmtId="176" fontId="19" fillId="14" borderId="1" xfId="0" applyNumberFormat="1" applyFont="1" applyFill="1" applyBorder="1" applyAlignment="1">
      <alignment horizontal="center" vertical="center" wrapText="1"/>
    </xf>
    <xf numFmtId="176" fontId="10" fillId="14" borderId="1" xfId="0" applyNumberFormat="1" applyFont="1" applyFill="1" applyBorder="1" applyAlignment="1">
      <alignment horizontal="center" vertical="center" wrapText="1"/>
    </xf>
    <xf numFmtId="176" fontId="1" fillId="8" borderId="1" xfId="0" applyNumberFormat="1" applyFont="1" applyFill="1" applyBorder="1" applyAlignment="1">
      <alignment horizontal="center" vertical="center" wrapText="1"/>
    </xf>
    <xf numFmtId="176" fontId="19" fillId="18" borderId="1" xfId="0" applyNumberFormat="1" applyFont="1" applyFill="1" applyBorder="1" applyAlignment="1">
      <alignment horizontal="center" vertical="center" wrapText="1"/>
    </xf>
    <xf numFmtId="176" fontId="10" fillId="3" borderId="1" xfId="0" applyNumberFormat="1" applyFont="1" applyFill="1" applyBorder="1" applyAlignment="1">
      <alignment horizontal="center" vertical="center"/>
    </xf>
    <xf numFmtId="176" fontId="11" fillId="14" borderId="1" xfId="0" applyNumberFormat="1" applyFont="1" applyFill="1" applyBorder="1" applyAlignment="1">
      <alignment horizontal="center" vertical="center" wrapText="1"/>
    </xf>
    <xf numFmtId="176" fontId="15" fillId="6" borderId="1" xfId="49" applyNumberFormat="1" applyFont="1" applyFill="1" applyBorder="1" applyAlignment="1">
      <alignment horizontal="left" vertical="center" wrapText="1"/>
    </xf>
    <xf numFmtId="176" fontId="6" fillId="6" borderId="1" xfId="49" applyNumberFormat="1" applyFont="1" applyFill="1" applyBorder="1" applyAlignment="1">
      <alignment horizontal="center" vertical="center" wrapText="1"/>
    </xf>
    <xf numFmtId="176" fontId="4" fillId="0" borderId="5" xfId="0" applyNumberFormat="1" applyFont="1" applyFill="1" applyBorder="1" applyAlignment="1"/>
    <xf numFmtId="176" fontId="13" fillId="16" borderId="1" xfId="0" applyNumberFormat="1" applyFont="1" applyFill="1" applyBorder="1" applyAlignment="1">
      <alignment horizontal="center" vertical="center" wrapText="1"/>
    </xf>
    <xf numFmtId="176" fontId="13" fillId="16" borderId="5" xfId="0" applyNumberFormat="1" applyFont="1" applyFill="1" applyBorder="1" applyAlignment="1">
      <alignment horizontal="center" vertical="center" wrapText="1"/>
    </xf>
    <xf numFmtId="176" fontId="20" fillId="0" borderId="1" xfId="0" applyNumberFormat="1" applyFont="1" applyFill="1" applyBorder="1" applyAlignment="1"/>
    <xf numFmtId="176" fontId="3" fillId="8" borderId="1" xfId="49" applyNumberFormat="1" applyFont="1" applyFill="1" applyBorder="1" applyAlignment="1">
      <alignment horizontal="center" vertical="center" wrapText="1"/>
    </xf>
    <xf numFmtId="176" fontId="19" fillId="14" borderId="1" xfId="49" applyNumberFormat="1" applyFont="1" applyFill="1" applyBorder="1" applyAlignment="1">
      <alignment horizontal="center" vertical="center" wrapText="1"/>
    </xf>
    <xf numFmtId="176" fontId="10" fillId="14" borderId="1" xfId="49" applyNumberFormat="1" applyFont="1" applyFill="1" applyBorder="1" applyAlignment="1">
      <alignment horizontal="center" vertical="center" wrapText="1"/>
    </xf>
    <xf numFmtId="176" fontId="3" fillId="3" borderId="1" xfId="49" applyNumberFormat="1" applyFont="1" applyFill="1" applyBorder="1" applyAlignment="1">
      <alignment horizontal="center" vertical="center"/>
    </xf>
    <xf numFmtId="176" fontId="1" fillId="2" borderId="1" xfId="49" applyNumberFormat="1" applyFont="1" applyFill="1" applyBorder="1" applyAlignment="1">
      <alignment horizontal="center" vertical="center" wrapText="1"/>
    </xf>
    <xf numFmtId="176" fontId="1" fillId="8" borderId="1" xfId="49" applyNumberFormat="1" applyFont="1" applyFill="1" applyBorder="1" applyAlignment="1">
      <alignment horizontal="center" vertical="center" wrapText="1"/>
    </xf>
    <xf numFmtId="176" fontId="19" fillId="18" borderId="1" xfId="49" applyNumberFormat="1" applyFont="1" applyFill="1" applyBorder="1" applyAlignment="1">
      <alignment horizontal="center" vertical="center" wrapText="1"/>
    </xf>
    <xf numFmtId="176" fontId="11" fillId="14" borderId="1" xfId="49" applyNumberFormat="1" applyFont="1" applyFill="1" applyBorder="1" applyAlignment="1">
      <alignment horizontal="center" vertical="center" wrapText="1"/>
    </xf>
    <xf numFmtId="176" fontId="12" fillId="0" borderId="1" xfId="49" applyNumberFormat="1" applyFont="1" applyBorder="1" applyAlignment="1">
      <alignment horizontal="center"/>
    </xf>
    <xf numFmtId="176" fontId="1" fillId="9" borderId="1" xfId="49" applyNumberFormat="1" applyFont="1" applyFill="1" applyBorder="1" applyAlignment="1">
      <alignment horizontal="center" vertical="center" wrapText="1"/>
    </xf>
    <xf numFmtId="176" fontId="12" fillId="0" borderId="1" xfId="49" applyNumberFormat="1" applyFont="1" applyBorder="1"/>
    <xf numFmtId="176" fontId="15" fillId="9" borderId="1" xfId="49" applyNumberFormat="1" applyFont="1" applyFill="1" applyBorder="1" applyAlignment="1">
      <alignment horizontal="left" vertical="center" wrapText="1"/>
    </xf>
    <xf numFmtId="178" fontId="15" fillId="9" borderId="1" xfId="49" applyNumberFormat="1" applyFont="1" applyFill="1" applyBorder="1" applyAlignment="1">
      <alignment horizontal="left" vertical="center" wrapText="1"/>
    </xf>
    <xf numFmtId="176" fontId="17" fillId="6" borderId="1" xfId="49" applyNumberFormat="1" applyFont="1" applyFill="1" applyBorder="1" applyAlignment="1">
      <alignment horizontal="center" vertical="center" wrapText="1"/>
    </xf>
    <xf numFmtId="176" fontId="13" fillId="16" borderId="1" xfId="49" applyNumberFormat="1" applyFont="1" applyFill="1" applyBorder="1" applyAlignment="1">
      <alignment horizontal="center" vertical="center" wrapText="1"/>
    </xf>
    <xf numFmtId="176" fontId="13" fillId="16" borderId="1" xfId="49" applyNumberFormat="1" applyFont="1" applyFill="1" applyBorder="1" applyAlignment="1">
      <alignment horizontal="center" vertical="center"/>
    </xf>
    <xf numFmtId="176" fontId="13" fillId="0" borderId="1" xfId="49" applyNumberFormat="1" applyFont="1" applyBorder="1"/>
    <xf numFmtId="176" fontId="10" fillId="0" borderId="1" xfId="49" applyNumberFormat="1" applyFont="1" applyBorder="1"/>
    <xf numFmtId="176" fontId="13" fillId="19" borderId="1" xfId="53" applyNumberFormat="1" applyFont="1" applyFill="1" applyBorder="1" applyAlignment="1">
      <alignment horizontal="center" vertical="center" wrapText="1"/>
    </xf>
    <xf numFmtId="176" fontId="10" fillId="3" borderId="1" xfId="49" applyNumberFormat="1" applyFont="1" applyFill="1" applyBorder="1" applyAlignment="1">
      <alignment horizontal="center" vertical="center"/>
    </xf>
    <xf numFmtId="176" fontId="13" fillId="19" borderId="1" xfId="49" applyNumberFormat="1" applyFont="1" applyFill="1" applyBorder="1" applyAlignment="1">
      <alignment horizontal="center" vertical="center" wrapText="1"/>
    </xf>
    <xf numFmtId="176" fontId="3" fillId="8" borderId="1" xfId="0" applyNumberFormat="1" applyFont="1" applyFill="1" applyBorder="1" applyAlignment="1">
      <alignment horizontal="center" vertical="center" wrapText="1"/>
    </xf>
    <xf numFmtId="176" fontId="13" fillId="16" borderId="1" xfId="53" applyNumberFormat="1" applyFont="1" applyFill="1" applyBorder="1" applyAlignment="1">
      <alignment horizontal="center" vertical="center" wrapText="1"/>
    </xf>
    <xf numFmtId="176" fontId="13" fillId="19" borderId="1" xfId="0" applyNumberFormat="1" applyFont="1" applyFill="1" applyBorder="1" applyAlignment="1">
      <alignment horizontal="center" vertical="center" wrapText="1"/>
    </xf>
    <xf numFmtId="176" fontId="18" fillId="6" borderId="1" xfId="49" applyNumberFormat="1" applyFont="1" applyFill="1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_Sheet1_2" xfId="50"/>
    <cellStyle name="常规_Sheet1" xfId="51"/>
    <cellStyle name="常规 2" xfId="52"/>
    <cellStyle name="常规 3 2" xfId="53"/>
    <cellStyle name="常规 2 2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39"/>
  <sheetViews>
    <sheetView tabSelected="1" workbookViewId="0">
      <selection activeCell="D3" sqref="D3"/>
    </sheetView>
  </sheetViews>
  <sheetFormatPr defaultColWidth="8.88461538461539" defaultRowHeight="16.8"/>
  <cols>
    <col min="6" max="6" width="9.66346153846154"/>
    <col min="7" max="7" width="9.44230769230769"/>
    <col min="8" max="8" width="13.1153846153846"/>
    <col min="9" max="9" width="11.8846153846154"/>
    <col min="10" max="10" width="10.7788461538462"/>
    <col min="11" max="11" width="11.8846153846154"/>
    <col min="12" max="12" width="10.6634615384615"/>
    <col min="15" max="15" width="9.44230769230769"/>
    <col min="18" max="18" width="10.6634615384615"/>
    <col min="23" max="23" width="11.8846153846154"/>
    <col min="24" max="24" width="10.7788461538462"/>
    <col min="25" max="25" width="14.4423076923077"/>
    <col min="26" max="26" width="9.66346153846154"/>
    <col min="27" max="27" width="14.4423076923077"/>
    <col min="28" max="28" width="11.8846153846154"/>
    <col min="29" max="29" width="14.4423076923077"/>
    <col min="30" max="30" width="13.1153846153846"/>
    <col min="31" max="34" width="9.66346153846154"/>
    <col min="36" max="37" width="9.44230769230769"/>
    <col min="38" max="38" width="9.66346153846154"/>
    <col min="39" max="41" width="11.8846153846154"/>
    <col min="42" max="42" width="9.66346153846154"/>
    <col min="44" max="44" width="9.66346153846154"/>
    <col min="45" max="45" width="10.6634615384615"/>
    <col min="46" max="46" width="9.66346153846154"/>
    <col min="47" max="47" width="9.44230769230769"/>
    <col min="49" max="49" width="9.44230769230769"/>
    <col min="52" max="53" width="11.8846153846154"/>
    <col min="56" max="56" width="9.66346153846154"/>
    <col min="62" max="62" width="9.66346153846154"/>
    <col min="78" max="78" width="9.66346153846154"/>
    <col min="85" max="85" width="9.66346153846154"/>
    <col min="86" max="86" width="9.44230769230769"/>
    <col min="88" max="89" width="11.8846153846154"/>
    <col min="90" max="90" width="10.7788461538462"/>
    <col min="92" max="92" width="10.7788461538462"/>
    <col min="103" max="103" width="10.7788461538462"/>
    <col min="110" max="110" width="9.66346153846154"/>
    <col min="112" max="113" width="9.66346153846154"/>
    <col min="115" max="116" width="11.8846153846154"/>
    <col min="117" max="119" width="10.7788461538462"/>
    <col min="121" max="121" width="9.66346153846154"/>
  </cols>
  <sheetData>
    <row r="1" s="34" customFormat="1" ht="36" spans="1:123">
      <c r="A1" s="38" t="s">
        <v>0</v>
      </c>
      <c r="B1" s="39" t="s">
        <v>1</v>
      </c>
      <c r="C1" s="40" t="s">
        <v>2</v>
      </c>
      <c r="D1" s="40"/>
      <c r="E1" s="40"/>
      <c r="F1" s="41" t="s">
        <v>3</v>
      </c>
      <c r="G1" s="40" t="s">
        <v>4</v>
      </c>
      <c r="H1" s="40" t="s">
        <v>5</v>
      </c>
      <c r="I1" s="40"/>
      <c r="J1" s="40"/>
      <c r="K1" s="40"/>
      <c r="L1" s="41" t="s">
        <v>6</v>
      </c>
      <c r="M1" s="41"/>
      <c r="N1" s="41" t="s">
        <v>7</v>
      </c>
      <c r="O1" s="41" t="s">
        <v>8</v>
      </c>
      <c r="P1" s="41" t="s">
        <v>9</v>
      </c>
      <c r="Q1" s="41" t="s">
        <v>10</v>
      </c>
      <c r="R1" s="41" t="s">
        <v>11</v>
      </c>
      <c r="S1" s="40" t="s">
        <v>12</v>
      </c>
      <c r="T1" s="40"/>
      <c r="U1" s="40"/>
      <c r="V1" s="40"/>
      <c r="W1" s="41" t="s">
        <v>13</v>
      </c>
      <c r="X1" s="41" t="s">
        <v>14</v>
      </c>
      <c r="Y1" s="41" t="s">
        <v>15</v>
      </c>
      <c r="Z1" s="41" t="s">
        <v>16</v>
      </c>
      <c r="AA1" s="40" t="s">
        <v>17</v>
      </c>
      <c r="AB1" s="40"/>
      <c r="AC1" s="41" t="s">
        <v>18</v>
      </c>
      <c r="AD1" s="41" t="s">
        <v>19</v>
      </c>
      <c r="AE1" s="41" t="s">
        <v>20</v>
      </c>
      <c r="AF1" s="41" t="s">
        <v>21</v>
      </c>
      <c r="AG1" s="40" t="s">
        <v>22</v>
      </c>
      <c r="AH1" s="40"/>
      <c r="AI1" s="40"/>
      <c r="AJ1" s="40" t="s">
        <v>23</v>
      </c>
      <c r="AK1" s="40"/>
      <c r="AL1" s="40"/>
      <c r="AM1" s="41" t="s">
        <v>24</v>
      </c>
      <c r="AN1" s="41" t="s">
        <v>25</v>
      </c>
      <c r="AO1" s="41" t="s">
        <v>26</v>
      </c>
      <c r="AP1" s="41" t="s">
        <v>27</v>
      </c>
      <c r="AQ1" s="41" t="s">
        <v>28</v>
      </c>
      <c r="AR1" s="41" t="s">
        <v>29</v>
      </c>
      <c r="AS1" s="41" t="s">
        <v>30</v>
      </c>
      <c r="AT1" s="41" t="s">
        <v>31</v>
      </c>
      <c r="AU1" s="41" t="s">
        <v>32</v>
      </c>
      <c r="AV1" s="41" t="s">
        <v>33</v>
      </c>
      <c r="AW1" s="41" t="s">
        <v>34</v>
      </c>
      <c r="AX1" s="41" t="s">
        <v>35</v>
      </c>
      <c r="AY1" s="41" t="s">
        <v>36</v>
      </c>
      <c r="AZ1" s="41" t="s">
        <v>37</v>
      </c>
      <c r="BA1" s="41" t="s">
        <v>38</v>
      </c>
      <c r="BB1" s="41" t="s">
        <v>39</v>
      </c>
      <c r="BC1" s="41" t="s">
        <v>40</v>
      </c>
      <c r="BD1" s="42" t="s">
        <v>41</v>
      </c>
      <c r="BE1" s="42" t="s">
        <v>42</v>
      </c>
      <c r="BF1" s="42" t="s">
        <v>43</v>
      </c>
      <c r="BG1" s="42" t="s">
        <v>44</v>
      </c>
      <c r="BH1" s="42" t="s">
        <v>45</v>
      </c>
      <c r="BI1" s="42" t="s">
        <v>46</v>
      </c>
      <c r="BJ1" s="42" t="s">
        <v>47</v>
      </c>
      <c r="BK1" s="42" t="s">
        <v>48</v>
      </c>
      <c r="BL1" s="42" t="s">
        <v>49</v>
      </c>
      <c r="BM1" s="42" t="s">
        <v>50</v>
      </c>
      <c r="BN1" s="42" t="s">
        <v>51</v>
      </c>
      <c r="BO1" s="42" t="s">
        <v>52</v>
      </c>
      <c r="BP1" s="42" t="s">
        <v>53</v>
      </c>
      <c r="BQ1" s="42" t="s">
        <v>54</v>
      </c>
      <c r="BR1" s="42" t="s">
        <v>55</v>
      </c>
      <c r="BS1" s="42" t="s">
        <v>56</v>
      </c>
      <c r="BT1" s="42" t="s">
        <v>57</v>
      </c>
      <c r="BU1" s="42" t="s">
        <v>58</v>
      </c>
      <c r="BV1" s="42" t="s">
        <v>59</v>
      </c>
      <c r="BW1" s="42" t="s">
        <v>60</v>
      </c>
      <c r="BX1" s="42" t="s">
        <v>61</v>
      </c>
      <c r="BY1" s="42" t="s">
        <v>62</v>
      </c>
      <c r="BZ1" s="42" t="s">
        <v>63</v>
      </c>
      <c r="CA1" s="42" t="s">
        <v>64</v>
      </c>
      <c r="CB1" s="42" t="s">
        <v>65</v>
      </c>
      <c r="CC1" s="42" t="s">
        <v>66</v>
      </c>
      <c r="CD1" s="42" t="s">
        <v>67</v>
      </c>
      <c r="CE1" s="42" t="s">
        <v>68</v>
      </c>
      <c r="CF1" s="42" t="s">
        <v>69</v>
      </c>
      <c r="CG1" s="42" t="s">
        <v>70</v>
      </c>
      <c r="CH1" s="42" t="s">
        <v>71</v>
      </c>
      <c r="CI1" s="42" t="s">
        <v>25</v>
      </c>
      <c r="CJ1" s="42" t="s">
        <v>72</v>
      </c>
      <c r="CK1" s="42" t="s">
        <v>73</v>
      </c>
      <c r="CL1" s="42" t="s">
        <v>74</v>
      </c>
      <c r="CM1" s="42" t="s">
        <v>75</v>
      </c>
      <c r="CN1" s="42" t="s">
        <v>76</v>
      </c>
      <c r="CO1" s="42" t="s">
        <v>77</v>
      </c>
      <c r="CP1" s="42" t="s">
        <v>78</v>
      </c>
      <c r="CQ1" s="43" t="s">
        <v>79</v>
      </c>
      <c r="CR1" s="42" t="s">
        <v>80</v>
      </c>
      <c r="CS1" s="42" t="s">
        <v>81</v>
      </c>
      <c r="CT1" s="42" t="s">
        <v>82</v>
      </c>
      <c r="CU1" s="42" t="s">
        <v>83</v>
      </c>
      <c r="CV1" s="42" t="s">
        <v>84</v>
      </c>
      <c r="CW1" s="42" t="s">
        <v>85</v>
      </c>
      <c r="CX1" s="42" t="s">
        <v>86</v>
      </c>
      <c r="CY1" s="42" t="s">
        <v>87</v>
      </c>
      <c r="CZ1" s="43" t="s">
        <v>88</v>
      </c>
      <c r="DA1" s="42" t="s">
        <v>89</v>
      </c>
      <c r="DB1" s="42" t="s">
        <v>90</v>
      </c>
      <c r="DC1" s="42" t="s">
        <v>91</v>
      </c>
      <c r="DD1" s="42" t="s">
        <v>92</v>
      </c>
      <c r="DE1" s="42" t="s">
        <v>93</v>
      </c>
      <c r="DF1" s="42" t="s">
        <v>94</v>
      </c>
      <c r="DG1" s="44" t="s">
        <v>95</v>
      </c>
      <c r="DH1" s="42" t="s">
        <v>96</v>
      </c>
      <c r="DI1" s="42" t="s">
        <v>97</v>
      </c>
      <c r="DJ1" s="42" t="s">
        <v>98</v>
      </c>
      <c r="DK1" s="45" t="s">
        <v>99</v>
      </c>
      <c r="DL1" s="45"/>
      <c r="DM1" s="46" t="s">
        <v>100</v>
      </c>
      <c r="DN1" s="45" t="s">
        <v>101</v>
      </c>
      <c r="DO1" s="45"/>
      <c r="DP1" s="46" t="s">
        <v>102</v>
      </c>
      <c r="DQ1" s="46" t="s">
        <v>103</v>
      </c>
    </row>
    <row r="2" s="34" customFormat="1" ht="71" spans="1:123">
      <c r="A2" s="47"/>
      <c r="B2" s="39"/>
      <c r="C2" s="40" t="s">
        <v>104</v>
      </c>
      <c r="D2" s="40" t="s">
        <v>105</v>
      </c>
      <c r="E2" s="40" t="s">
        <v>106</v>
      </c>
      <c r="F2" s="41"/>
      <c r="G2" s="40"/>
      <c r="H2" s="40" t="s">
        <v>107</v>
      </c>
      <c r="I2" s="40" t="s">
        <v>108</v>
      </c>
      <c r="J2" s="40" t="s">
        <v>109</v>
      </c>
      <c r="K2" s="40" t="s">
        <v>110</v>
      </c>
      <c r="L2" s="40" t="s">
        <v>111</v>
      </c>
      <c r="M2" s="40" t="s">
        <v>112</v>
      </c>
      <c r="N2" s="41"/>
      <c r="O2" s="41"/>
      <c r="P2" s="41"/>
      <c r="Q2" s="41"/>
      <c r="R2" s="41"/>
      <c r="S2" s="41" t="s">
        <v>113</v>
      </c>
      <c r="T2" s="41" t="s">
        <v>114</v>
      </c>
      <c r="U2" s="41" t="s">
        <v>115</v>
      </c>
      <c r="V2" s="40" t="s">
        <v>116</v>
      </c>
      <c r="W2" s="41"/>
      <c r="X2" s="41"/>
      <c r="Y2" s="41"/>
      <c r="Z2" s="41"/>
      <c r="AA2" s="41" t="s">
        <v>117</v>
      </c>
      <c r="AB2" s="41" t="s">
        <v>118</v>
      </c>
      <c r="AC2" s="41"/>
      <c r="AD2" s="41"/>
      <c r="AE2" s="41"/>
      <c r="AF2" s="41"/>
      <c r="AG2" s="41" t="s">
        <v>119</v>
      </c>
      <c r="AH2" s="41" t="s">
        <v>120</v>
      </c>
      <c r="AI2" s="41" t="s">
        <v>121</v>
      </c>
      <c r="AJ2" s="41" t="s">
        <v>122</v>
      </c>
      <c r="AK2" s="41" t="s">
        <v>123</v>
      </c>
      <c r="AL2" s="41" t="s">
        <v>124</v>
      </c>
      <c r="AM2" s="41"/>
      <c r="AN2" s="41"/>
      <c r="AO2" s="40" t="s">
        <v>125</v>
      </c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3"/>
      <c r="CR2" s="42"/>
      <c r="CS2" s="42"/>
      <c r="CT2" s="42"/>
      <c r="CU2" s="42"/>
      <c r="CV2" s="42"/>
      <c r="CW2" s="42"/>
      <c r="CX2" s="42"/>
      <c r="CY2" s="42"/>
      <c r="CZ2" s="43"/>
      <c r="DA2" s="42"/>
      <c r="DB2" s="42"/>
      <c r="DC2" s="42"/>
      <c r="DD2" s="42"/>
      <c r="DE2" s="42"/>
      <c r="DF2" s="42"/>
      <c r="DG2" s="44"/>
      <c r="DH2" s="42"/>
      <c r="DI2" s="42"/>
      <c r="DJ2" s="42"/>
      <c r="DK2" s="45" t="s">
        <v>126</v>
      </c>
      <c r="DL2" s="45" t="s">
        <v>125</v>
      </c>
      <c r="DM2" s="46"/>
      <c r="DN2" s="45" t="s">
        <v>127</v>
      </c>
      <c r="DO2" s="45" t="s">
        <v>128</v>
      </c>
      <c r="DP2" s="46"/>
      <c r="DQ2" s="46"/>
    </row>
    <row r="3" s="34" customFormat="1" ht="53" spans="1:123">
      <c r="A3" s="47"/>
      <c r="B3" s="39"/>
      <c r="C3" s="40" t="s">
        <v>129</v>
      </c>
      <c r="D3" s="40" t="s">
        <v>129</v>
      </c>
      <c r="E3" s="40" t="s">
        <v>129</v>
      </c>
      <c r="F3" s="40" t="s">
        <v>130</v>
      </c>
      <c r="G3" s="40" t="s">
        <v>130</v>
      </c>
      <c r="H3" s="40" t="s">
        <v>131</v>
      </c>
      <c r="I3" s="40" t="s">
        <v>131</v>
      </c>
      <c r="J3" s="40" t="s">
        <v>131</v>
      </c>
      <c r="K3" s="40" t="s">
        <v>131</v>
      </c>
      <c r="L3" s="40" t="s">
        <v>132</v>
      </c>
      <c r="M3" s="40" t="s">
        <v>132</v>
      </c>
      <c r="N3" s="40" t="s">
        <v>130</v>
      </c>
      <c r="O3" s="40" t="s">
        <v>130</v>
      </c>
      <c r="P3" s="40" t="s">
        <v>130</v>
      </c>
      <c r="Q3" s="40" t="s">
        <v>130</v>
      </c>
      <c r="R3" s="40" t="s">
        <v>132</v>
      </c>
      <c r="S3" s="40" t="s">
        <v>132</v>
      </c>
      <c r="T3" s="40" t="s">
        <v>132</v>
      </c>
      <c r="U3" s="40" t="s">
        <v>132</v>
      </c>
      <c r="V3" s="40" t="s">
        <v>132</v>
      </c>
      <c r="W3" s="40" t="s">
        <v>133</v>
      </c>
      <c r="X3" s="40" t="s">
        <v>134</v>
      </c>
      <c r="Y3" s="40" t="s">
        <v>135</v>
      </c>
      <c r="Z3" s="40" t="s">
        <v>130</v>
      </c>
      <c r="AA3" s="40" t="s">
        <v>135</v>
      </c>
      <c r="AB3" s="40" t="s">
        <v>136</v>
      </c>
      <c r="AC3" s="40" t="s">
        <v>135</v>
      </c>
      <c r="AD3" s="40" t="s">
        <v>136</v>
      </c>
      <c r="AE3" s="41" t="s">
        <v>129</v>
      </c>
      <c r="AF3" s="41" t="s">
        <v>129</v>
      </c>
      <c r="AG3" s="40" t="s">
        <v>130</v>
      </c>
      <c r="AH3" s="40" t="s">
        <v>130</v>
      </c>
      <c r="AI3" s="40" t="s">
        <v>130</v>
      </c>
      <c r="AJ3" s="40" t="s">
        <v>137</v>
      </c>
      <c r="AK3" s="40" t="s">
        <v>137</v>
      </c>
      <c r="AL3" s="40" t="s">
        <v>137</v>
      </c>
      <c r="AM3" s="40" t="s">
        <v>134</v>
      </c>
      <c r="AN3" s="40" t="s">
        <v>134</v>
      </c>
      <c r="AO3" s="40" t="s">
        <v>138</v>
      </c>
      <c r="AP3" s="40" t="s">
        <v>132</v>
      </c>
      <c r="AQ3" s="40" t="s">
        <v>139</v>
      </c>
      <c r="AR3" s="40" t="s">
        <v>129</v>
      </c>
      <c r="AS3" s="40" t="s">
        <v>129</v>
      </c>
      <c r="AT3" s="40" t="s">
        <v>134</v>
      </c>
      <c r="AU3" s="40" t="s">
        <v>129</v>
      </c>
      <c r="AV3" s="40" t="s">
        <v>129</v>
      </c>
      <c r="AW3" s="40" t="s">
        <v>129</v>
      </c>
      <c r="AX3" s="40" t="s">
        <v>129</v>
      </c>
      <c r="AY3" s="40" t="s">
        <v>129</v>
      </c>
      <c r="AZ3" s="41" t="s">
        <v>136</v>
      </c>
      <c r="BA3" s="41" t="s">
        <v>136</v>
      </c>
      <c r="BB3" s="41" t="s">
        <v>136</v>
      </c>
      <c r="BC3" s="41" t="s">
        <v>136</v>
      </c>
      <c r="BD3" s="42" t="s">
        <v>132</v>
      </c>
      <c r="BE3" s="42" t="s">
        <v>139</v>
      </c>
      <c r="BF3" s="42" t="s">
        <v>139</v>
      </c>
      <c r="BG3" s="42" t="s">
        <v>139</v>
      </c>
      <c r="BH3" s="42" t="s">
        <v>139</v>
      </c>
      <c r="BI3" s="42" t="s">
        <v>139</v>
      </c>
      <c r="BJ3" s="42" t="s">
        <v>132</v>
      </c>
      <c r="BK3" s="42" t="s">
        <v>139</v>
      </c>
      <c r="BL3" s="42" t="s">
        <v>139</v>
      </c>
      <c r="BM3" s="42" t="s">
        <v>140</v>
      </c>
      <c r="BN3" s="42" t="s">
        <v>139</v>
      </c>
      <c r="BO3" s="42" t="s">
        <v>139</v>
      </c>
      <c r="BP3" s="42" t="s">
        <v>139</v>
      </c>
      <c r="BQ3" s="42" t="s">
        <v>139</v>
      </c>
      <c r="BR3" s="42" t="s">
        <v>139</v>
      </c>
      <c r="BS3" s="42" t="s">
        <v>139</v>
      </c>
      <c r="BT3" s="48" t="s">
        <v>141</v>
      </c>
      <c r="BU3" s="48" t="s">
        <v>142</v>
      </c>
      <c r="BV3" s="42" t="s">
        <v>139</v>
      </c>
      <c r="BW3" s="42" t="s">
        <v>139</v>
      </c>
      <c r="BX3" s="42" t="s">
        <v>139</v>
      </c>
      <c r="BY3" s="42" t="s">
        <v>134</v>
      </c>
      <c r="BZ3" s="42" t="s">
        <v>134</v>
      </c>
      <c r="CA3" s="42" t="s">
        <v>134</v>
      </c>
      <c r="CB3" s="42" t="s">
        <v>134</v>
      </c>
      <c r="CC3" s="42" t="s">
        <v>139</v>
      </c>
      <c r="CD3" s="42" t="s">
        <v>139</v>
      </c>
      <c r="CE3" s="42" t="s">
        <v>143</v>
      </c>
      <c r="CF3" s="42" t="s">
        <v>139</v>
      </c>
      <c r="CG3" s="42" t="s">
        <v>129</v>
      </c>
      <c r="CH3" s="42" t="s">
        <v>144</v>
      </c>
      <c r="CI3" s="42" t="s">
        <v>144</v>
      </c>
      <c r="CJ3" s="42" t="s">
        <v>134</v>
      </c>
      <c r="CK3" s="42" t="s">
        <v>134</v>
      </c>
      <c r="CL3" s="42" t="s">
        <v>134</v>
      </c>
      <c r="CM3" s="42" t="s">
        <v>129</v>
      </c>
      <c r="CN3" s="42" t="s">
        <v>145</v>
      </c>
      <c r="CO3" s="42" t="s">
        <v>130</v>
      </c>
      <c r="CP3" s="42" t="s">
        <v>139</v>
      </c>
      <c r="CQ3" s="42" t="s">
        <v>146</v>
      </c>
      <c r="CR3" s="42" t="s">
        <v>139</v>
      </c>
      <c r="CS3" s="42" t="s">
        <v>147</v>
      </c>
      <c r="CT3" s="42" t="s">
        <v>148</v>
      </c>
      <c r="CU3" s="42" t="s">
        <v>139</v>
      </c>
      <c r="CV3" s="42" t="s">
        <v>139</v>
      </c>
      <c r="CW3" s="42" t="s">
        <v>139</v>
      </c>
      <c r="CX3" s="42" t="s">
        <v>139</v>
      </c>
      <c r="CY3" s="42" t="s">
        <v>133</v>
      </c>
      <c r="CZ3" s="42" t="s">
        <v>139</v>
      </c>
      <c r="DA3" s="42" t="s">
        <v>139</v>
      </c>
      <c r="DB3" s="42" t="s">
        <v>139</v>
      </c>
      <c r="DC3" s="42" t="s">
        <v>139</v>
      </c>
      <c r="DD3" s="42" t="s">
        <v>139</v>
      </c>
      <c r="DE3" s="42" t="s">
        <v>149</v>
      </c>
      <c r="DF3" s="42" t="s">
        <v>134</v>
      </c>
      <c r="DG3" s="42" t="s">
        <v>139</v>
      </c>
      <c r="DH3" s="42" t="s">
        <v>134</v>
      </c>
      <c r="DI3" s="42" t="s">
        <v>134</v>
      </c>
      <c r="DJ3" s="42" t="s">
        <v>129</v>
      </c>
      <c r="DK3" s="45" t="s">
        <v>134</v>
      </c>
      <c r="DL3" s="45" t="s">
        <v>134</v>
      </c>
      <c r="DM3" s="45" t="s">
        <v>139</v>
      </c>
      <c r="DN3" s="45" t="s">
        <v>134</v>
      </c>
      <c r="DO3" s="45" t="s">
        <v>134</v>
      </c>
      <c r="DP3" s="46" t="s">
        <v>139</v>
      </c>
      <c r="DQ3" s="46" t="s">
        <v>134</v>
      </c>
    </row>
    <row r="4" s="35" customFormat="1" ht="17.6" spans="1:123">
      <c r="A4" s="49" t="s">
        <v>150</v>
      </c>
      <c r="B4" s="50" t="s">
        <v>151</v>
      </c>
      <c r="C4" s="51">
        <v>0</v>
      </c>
      <c r="D4" s="51">
        <v>14</v>
      </c>
      <c r="E4" s="51">
        <v>2</v>
      </c>
      <c r="F4" s="51">
        <v>1089.8</v>
      </c>
      <c r="G4" s="51">
        <v>243.6</v>
      </c>
      <c r="H4" s="51">
        <v>653319</v>
      </c>
      <c r="I4" s="51">
        <v>39533</v>
      </c>
      <c r="J4" s="51">
        <v>1657</v>
      </c>
      <c r="K4" s="51">
        <v>838099</v>
      </c>
      <c r="L4" s="40" t="s">
        <v>0</v>
      </c>
      <c r="M4" s="40" t="s">
        <v>0</v>
      </c>
      <c r="N4" s="51">
        <v>6.2</v>
      </c>
      <c r="O4" s="51">
        <v>129.9</v>
      </c>
      <c r="P4" s="51">
        <v>6.09</v>
      </c>
      <c r="Q4" s="51">
        <v>97.43</v>
      </c>
      <c r="R4" s="51">
        <v>4524.67</v>
      </c>
      <c r="S4" s="51">
        <v>272.23</v>
      </c>
      <c r="T4" s="40" t="s">
        <v>0</v>
      </c>
      <c r="U4" s="51">
        <v>163.9</v>
      </c>
      <c r="V4" s="51">
        <v>213.36</v>
      </c>
      <c r="W4" s="51">
        <v>77129</v>
      </c>
      <c r="X4" s="51">
        <v>74661</v>
      </c>
      <c r="Y4" s="52">
        <v>72933000</v>
      </c>
      <c r="Z4" s="51">
        <v>1156.7</v>
      </c>
      <c r="AA4" s="40" t="s">
        <v>0</v>
      </c>
      <c r="AB4" s="40" t="s">
        <v>0</v>
      </c>
      <c r="AC4" s="51">
        <v>3434882</v>
      </c>
      <c r="AD4" s="51">
        <v>424414</v>
      </c>
      <c r="AE4" s="53">
        <v>91</v>
      </c>
      <c r="AF4" s="53">
        <v>2037</v>
      </c>
      <c r="AG4" s="52">
        <v>1392.6</v>
      </c>
      <c r="AH4" s="52">
        <v>1604.25</v>
      </c>
      <c r="AI4" s="51">
        <v>173.4</v>
      </c>
      <c r="AJ4" s="51">
        <v>522.6</v>
      </c>
      <c r="AK4" s="51">
        <v>551.57</v>
      </c>
      <c r="AL4" s="52">
        <v>553</v>
      </c>
      <c r="AM4" s="51">
        <v>153334</v>
      </c>
      <c r="AN4" s="51">
        <v>122383</v>
      </c>
      <c r="AO4" s="52">
        <v>40347</v>
      </c>
      <c r="AP4" s="51">
        <v>1268.8</v>
      </c>
      <c r="AQ4" s="51">
        <v>5.95</v>
      </c>
      <c r="AR4" s="40" t="s">
        <v>0</v>
      </c>
      <c r="AS4" s="51">
        <v>3937</v>
      </c>
      <c r="AT4" s="53">
        <v>1424</v>
      </c>
      <c r="AU4" s="51">
        <v>19</v>
      </c>
      <c r="AV4" s="51">
        <v>171</v>
      </c>
      <c r="AW4" s="51">
        <v>1</v>
      </c>
      <c r="AX4" s="40" t="s">
        <v>0</v>
      </c>
      <c r="AY4" s="40">
        <v>70</v>
      </c>
      <c r="AZ4" s="52">
        <v>89135</v>
      </c>
      <c r="BA4" s="52">
        <v>51324</v>
      </c>
      <c r="BB4" s="53">
        <v>429</v>
      </c>
      <c r="BC4" s="53">
        <v>78</v>
      </c>
      <c r="BD4" s="51">
        <v>7214.5</v>
      </c>
      <c r="BE4" s="51">
        <v>29.6</v>
      </c>
      <c r="BF4" s="51">
        <v>7.5</v>
      </c>
      <c r="BG4" s="23">
        <v>8.6</v>
      </c>
      <c r="BH4" s="51">
        <v>-3.4</v>
      </c>
      <c r="BI4" s="51">
        <v>6.07</v>
      </c>
      <c r="BJ4" s="51">
        <v>3612</v>
      </c>
      <c r="BK4" s="23">
        <v>6.2</v>
      </c>
      <c r="BL4" s="52">
        <v>105.52</v>
      </c>
      <c r="BM4" s="51">
        <v>0.36</v>
      </c>
      <c r="BN4" s="51">
        <v>5.29</v>
      </c>
      <c r="BO4" s="52">
        <v>86.4</v>
      </c>
      <c r="BP4" s="51">
        <v>7.2</v>
      </c>
      <c r="BQ4" s="51">
        <v>8.6</v>
      </c>
      <c r="BR4" s="51">
        <v>101.6</v>
      </c>
      <c r="BS4" s="51">
        <v>99.1</v>
      </c>
      <c r="BT4" s="51">
        <v>0.051</v>
      </c>
      <c r="BU4" s="51">
        <v>0.94</v>
      </c>
      <c r="BV4" s="51">
        <v>97.46</v>
      </c>
      <c r="BW4" s="51">
        <v>99.88</v>
      </c>
      <c r="BX4" s="54" t="s">
        <v>0</v>
      </c>
      <c r="BY4" s="53">
        <v>25</v>
      </c>
      <c r="BZ4" s="54" t="s">
        <v>0</v>
      </c>
      <c r="CA4" s="53">
        <v>860</v>
      </c>
      <c r="CB4" s="53">
        <v>472</v>
      </c>
      <c r="CC4" s="53">
        <v>100</v>
      </c>
      <c r="CD4" s="54" t="s">
        <v>0</v>
      </c>
      <c r="CE4" s="51">
        <v>9.75</v>
      </c>
      <c r="CF4" s="54" t="s">
        <v>0</v>
      </c>
      <c r="CG4" s="52">
        <v>9083</v>
      </c>
      <c r="CH4" s="55">
        <f t="shared" ref="CH4:CH27" si="0">(AM4/(F4+G4))</f>
        <v>114.994750262487</v>
      </c>
      <c r="CI4" s="55">
        <f t="shared" ref="CI4:CI27" si="1">(AN4/(F4+G4))</f>
        <v>91.7826608669567</v>
      </c>
      <c r="CJ4" s="53">
        <v>194100</v>
      </c>
      <c r="CK4" s="53">
        <v>188600</v>
      </c>
      <c r="CL4" s="53">
        <v>18273</v>
      </c>
      <c r="CM4" s="53">
        <v>51</v>
      </c>
      <c r="CN4" s="53">
        <v>39149</v>
      </c>
      <c r="CO4" s="53">
        <v>42.65</v>
      </c>
      <c r="CP4" s="56">
        <f t="shared" ref="CP4:CP11" si="2">AI4/G4*100</f>
        <v>71.1822660098522</v>
      </c>
      <c r="CQ4" s="53">
        <v>509.5</v>
      </c>
      <c r="CR4" s="52">
        <v>99.55</v>
      </c>
      <c r="CS4" s="52">
        <v>7.93</v>
      </c>
      <c r="CT4" s="52">
        <v>18.76</v>
      </c>
      <c r="CU4" s="53">
        <v>106.85</v>
      </c>
      <c r="CV4" s="54" t="s">
        <v>0</v>
      </c>
      <c r="CW4" s="54" t="s">
        <v>0</v>
      </c>
      <c r="CX4" s="52">
        <v>35.84</v>
      </c>
      <c r="CY4" s="52">
        <v>40000</v>
      </c>
      <c r="CZ4" s="54" t="s">
        <v>0</v>
      </c>
      <c r="DA4" s="52">
        <v>87.67</v>
      </c>
      <c r="DB4" s="52">
        <v>99.6</v>
      </c>
      <c r="DC4" s="52">
        <v>86.1</v>
      </c>
      <c r="DD4" s="52">
        <f>168/365*100</f>
        <v>46.027397260274</v>
      </c>
      <c r="DE4" s="52">
        <v>53.6</v>
      </c>
      <c r="DF4" s="54" t="s">
        <v>0</v>
      </c>
      <c r="DG4" s="57" t="s">
        <v>0</v>
      </c>
      <c r="DH4" s="52">
        <v>1840</v>
      </c>
      <c r="DI4" s="52">
        <v>1840</v>
      </c>
      <c r="DJ4" s="54" t="s">
        <v>0</v>
      </c>
      <c r="DK4" s="58">
        <v>181600</v>
      </c>
      <c r="DL4" s="58">
        <v>225800</v>
      </c>
      <c r="DM4" s="58">
        <f t="shared" ref="DM4:DM27" si="3">((DL4-DK4)/DK4)*100</f>
        <v>24.3392070484581</v>
      </c>
      <c r="DN4" s="58">
        <v>16888</v>
      </c>
      <c r="DO4" s="58">
        <v>34766</v>
      </c>
      <c r="DP4" s="58">
        <f t="shared" ref="DP4:DP27" si="4">((DO4-DN4)/DN4)*100</f>
        <v>105.862150639507</v>
      </c>
      <c r="DQ4" s="58">
        <v>1840</v>
      </c>
      <c r="DR4" s="34"/>
      <c r="DS4" s="34"/>
    </row>
    <row r="5" s="35" customFormat="1" ht="17.6" spans="1:123">
      <c r="A5" s="49" t="s">
        <v>152</v>
      </c>
      <c r="B5" s="50" t="s">
        <v>153</v>
      </c>
      <c r="C5" s="51">
        <v>0</v>
      </c>
      <c r="D5" s="51">
        <v>13</v>
      </c>
      <c r="E5" s="51">
        <v>3</v>
      </c>
      <c r="F5" s="53">
        <v>645.05</v>
      </c>
      <c r="G5" s="53">
        <v>371.61</v>
      </c>
      <c r="H5" s="53">
        <v>366</v>
      </c>
      <c r="I5" s="53">
        <v>264994</v>
      </c>
      <c r="J5" s="53">
        <v>11498</v>
      </c>
      <c r="K5" s="53">
        <v>552700</v>
      </c>
      <c r="L5" s="51">
        <v>8467.12</v>
      </c>
      <c r="M5" s="51">
        <v>331.1</v>
      </c>
      <c r="N5" s="40">
        <v>6.64</v>
      </c>
      <c r="O5" s="40">
        <v>118.99</v>
      </c>
      <c r="P5" s="51">
        <v>0.46</v>
      </c>
      <c r="Q5" s="51">
        <v>6.52</v>
      </c>
      <c r="R5" s="40">
        <v>2884.7</v>
      </c>
      <c r="S5" s="51">
        <v>158.08</v>
      </c>
      <c r="T5" s="51">
        <v>139.31</v>
      </c>
      <c r="U5" s="51">
        <v>47.87</v>
      </c>
      <c r="V5" s="51">
        <v>57.93</v>
      </c>
      <c r="W5" s="40">
        <v>25307</v>
      </c>
      <c r="X5" s="51">
        <v>26351</v>
      </c>
      <c r="Y5" s="52">
        <v>20631400</v>
      </c>
      <c r="Z5" s="52">
        <v>877.21</v>
      </c>
      <c r="AA5" s="51">
        <v>1189400</v>
      </c>
      <c r="AB5" s="51">
        <v>139800</v>
      </c>
      <c r="AC5" s="51">
        <v>1301800</v>
      </c>
      <c r="AD5" s="51">
        <v>144000</v>
      </c>
      <c r="AE5" s="53">
        <v>6007</v>
      </c>
      <c r="AF5" s="53">
        <v>2126</v>
      </c>
      <c r="AG5" s="52">
        <v>657.28</v>
      </c>
      <c r="AH5" s="52">
        <v>1023.62</v>
      </c>
      <c r="AI5" s="53">
        <v>100.5</v>
      </c>
      <c r="AJ5" s="51">
        <v>362.63</v>
      </c>
      <c r="AK5" s="51">
        <v>313</v>
      </c>
      <c r="AL5" s="52">
        <v>1014</v>
      </c>
      <c r="AM5" s="40" t="s">
        <v>0</v>
      </c>
      <c r="AN5" s="53">
        <v>35604</v>
      </c>
      <c r="AO5" s="52">
        <v>195395</v>
      </c>
      <c r="AP5" s="51">
        <v>464.69</v>
      </c>
      <c r="AQ5" s="51">
        <v>3</v>
      </c>
      <c r="AR5" s="40" t="s">
        <v>0</v>
      </c>
      <c r="AS5" s="51">
        <v>3698</v>
      </c>
      <c r="AT5" s="53">
        <v>7231</v>
      </c>
      <c r="AU5" s="23">
        <v>19</v>
      </c>
      <c r="AV5" s="23">
        <v>22</v>
      </c>
      <c r="AW5" s="23">
        <v>19</v>
      </c>
      <c r="AX5" s="23">
        <v>51</v>
      </c>
      <c r="AY5" s="40" t="s">
        <v>0</v>
      </c>
      <c r="AZ5" s="52">
        <v>135760</v>
      </c>
      <c r="BA5" s="52">
        <v>101447</v>
      </c>
      <c r="BB5" s="53">
        <v>341</v>
      </c>
      <c r="BC5" s="53">
        <v>56</v>
      </c>
      <c r="BD5" s="23">
        <v>2390.02</v>
      </c>
      <c r="BE5" s="23">
        <v>15</v>
      </c>
      <c r="BF5" s="23">
        <v>15.1</v>
      </c>
      <c r="BG5" s="23">
        <v>6</v>
      </c>
      <c r="BH5" s="23">
        <v>4.2</v>
      </c>
      <c r="BI5" s="23">
        <v>12.1</v>
      </c>
      <c r="BJ5" s="51">
        <v>1520.52</v>
      </c>
      <c r="BK5" s="23">
        <v>10.1</v>
      </c>
      <c r="BL5" s="52">
        <v>101.6</v>
      </c>
      <c r="BM5" s="51">
        <v>0.54</v>
      </c>
      <c r="BN5" s="51">
        <v>6</v>
      </c>
      <c r="BO5" s="52">
        <v>82.3</v>
      </c>
      <c r="BP5" s="23">
        <v>8.7</v>
      </c>
      <c r="BQ5" s="23">
        <v>10.8</v>
      </c>
      <c r="BR5" s="23">
        <v>101.9</v>
      </c>
      <c r="BS5" s="23">
        <v>96.3</v>
      </c>
      <c r="BT5" s="59">
        <v>0.0232721834458473</v>
      </c>
      <c r="BU5" s="54" t="s">
        <v>0</v>
      </c>
      <c r="BV5" s="51">
        <v>98.38</v>
      </c>
      <c r="BW5" s="54" t="s">
        <v>0</v>
      </c>
      <c r="BX5" s="51">
        <v>97.85</v>
      </c>
      <c r="BY5" s="54" t="s">
        <v>0</v>
      </c>
      <c r="BZ5" s="51">
        <v>250</v>
      </c>
      <c r="CA5" s="53">
        <v>351</v>
      </c>
      <c r="CB5" s="53">
        <v>396</v>
      </c>
      <c r="CC5" s="53">
        <v>99.64</v>
      </c>
      <c r="CD5" s="54" t="s">
        <v>0</v>
      </c>
      <c r="CE5" s="51">
        <v>8.19</v>
      </c>
      <c r="CF5" s="51">
        <v>98.45</v>
      </c>
      <c r="CG5" s="52">
        <v>4729</v>
      </c>
      <c r="CH5" s="55" t="e">
        <f t="shared" si="0"/>
        <v>#VALUE!</v>
      </c>
      <c r="CI5" s="55">
        <f t="shared" si="1"/>
        <v>35.0205575118525</v>
      </c>
      <c r="CJ5" s="53">
        <v>90028</v>
      </c>
      <c r="CK5" s="53">
        <v>88230</v>
      </c>
      <c r="CL5" s="53">
        <v>4114</v>
      </c>
      <c r="CM5" s="54" t="s">
        <v>0</v>
      </c>
      <c r="CN5" s="53">
        <v>13195</v>
      </c>
      <c r="CO5" s="23">
        <v>48.8</v>
      </c>
      <c r="CP5" s="56">
        <f t="shared" si="2"/>
        <v>27.0444821183499</v>
      </c>
      <c r="CQ5" s="53" t="s">
        <v>154</v>
      </c>
      <c r="CR5" s="52">
        <v>98.98</v>
      </c>
      <c r="CS5" s="52">
        <v>15.78</v>
      </c>
      <c r="CT5" s="52">
        <v>13.41</v>
      </c>
      <c r="CU5" s="51">
        <v>88.95</v>
      </c>
      <c r="CV5" s="51">
        <v>100</v>
      </c>
      <c r="CW5" s="54" t="s">
        <v>0</v>
      </c>
      <c r="CX5" s="52">
        <v>9.87</v>
      </c>
      <c r="CY5" s="52">
        <v>6400</v>
      </c>
      <c r="CZ5" s="54" t="s">
        <v>0</v>
      </c>
      <c r="DA5" s="52">
        <v>98.91</v>
      </c>
      <c r="DB5" s="52">
        <v>96.23</v>
      </c>
      <c r="DC5" s="52">
        <v>100</v>
      </c>
      <c r="DD5" s="51">
        <v>47.9</v>
      </c>
      <c r="DE5" s="52">
        <v>53.6</v>
      </c>
      <c r="DF5" s="54">
        <v>670</v>
      </c>
      <c r="DG5" s="54" t="s">
        <v>0</v>
      </c>
      <c r="DH5" s="52">
        <v>194</v>
      </c>
      <c r="DI5" s="52">
        <v>194</v>
      </c>
      <c r="DJ5" s="54" t="s">
        <v>0</v>
      </c>
      <c r="DK5" s="58">
        <v>123888</v>
      </c>
      <c r="DL5" s="58">
        <v>214499</v>
      </c>
      <c r="DM5" s="58">
        <f t="shared" si="3"/>
        <v>73.1394485341599</v>
      </c>
      <c r="DN5" s="58">
        <v>5146</v>
      </c>
      <c r="DO5" s="58">
        <v>11399</v>
      </c>
      <c r="DP5" s="58">
        <f t="shared" si="4"/>
        <v>121.511853867081</v>
      </c>
      <c r="DQ5" s="58">
        <v>1074</v>
      </c>
    </row>
    <row r="6" s="35" customFormat="1" ht="17.6" spans="1:123">
      <c r="A6" s="49" t="s">
        <v>155</v>
      </c>
      <c r="B6" s="60" t="s">
        <v>156</v>
      </c>
      <c r="C6" s="52">
        <v>3</v>
      </c>
      <c r="D6" s="52">
        <v>8</v>
      </c>
      <c r="E6" s="52">
        <v>11</v>
      </c>
      <c r="F6" s="61">
        <v>399.46</v>
      </c>
      <c r="G6" s="61">
        <v>561.79</v>
      </c>
      <c r="H6" s="61">
        <v>310819</v>
      </c>
      <c r="I6" s="52">
        <v>75362</v>
      </c>
      <c r="J6" s="52">
        <v>213</v>
      </c>
      <c r="K6" s="52">
        <v>50968</v>
      </c>
      <c r="L6" s="40" t="s">
        <v>0</v>
      </c>
      <c r="M6" s="40" t="s">
        <v>0</v>
      </c>
      <c r="N6" s="52">
        <v>0.48</v>
      </c>
      <c r="O6" s="52">
        <v>23.94</v>
      </c>
      <c r="P6" s="42">
        <v>0.4</v>
      </c>
      <c r="Q6" s="42">
        <v>22.73</v>
      </c>
      <c r="R6" s="52">
        <v>566.4878</v>
      </c>
      <c r="S6" s="52">
        <v>47.2329</v>
      </c>
      <c r="T6" s="52">
        <v>32.4</v>
      </c>
      <c r="U6" s="52">
        <v>7.7258</v>
      </c>
      <c r="V6" s="52">
        <v>36.1</v>
      </c>
      <c r="W6" s="52">
        <v>11430</v>
      </c>
      <c r="X6" s="52">
        <v>4433</v>
      </c>
      <c r="Y6" s="52">
        <v>4617708</v>
      </c>
      <c r="Z6" s="52">
        <v>100.56</v>
      </c>
      <c r="AA6" s="42">
        <v>4218366</v>
      </c>
      <c r="AB6" s="42">
        <v>96337</v>
      </c>
      <c r="AC6" s="42">
        <v>4745739</v>
      </c>
      <c r="AD6" s="42">
        <v>105122</v>
      </c>
      <c r="AE6" s="40" t="s">
        <v>0</v>
      </c>
      <c r="AF6" s="40" t="s">
        <v>0</v>
      </c>
      <c r="AG6" s="52">
        <v>199.5</v>
      </c>
      <c r="AH6" s="52">
        <v>286.3</v>
      </c>
      <c r="AI6" s="52">
        <v>273.77</v>
      </c>
      <c r="AJ6" s="52">
        <v>161.34</v>
      </c>
      <c r="AK6" s="52">
        <v>118.75</v>
      </c>
      <c r="AL6" s="52">
        <v>214</v>
      </c>
      <c r="AM6" s="40" t="s">
        <v>0</v>
      </c>
      <c r="AN6" s="61">
        <v>13502</v>
      </c>
      <c r="AO6" s="52">
        <v>156030</v>
      </c>
      <c r="AP6" s="40" t="s">
        <v>0</v>
      </c>
      <c r="AQ6" s="40" t="s">
        <v>0</v>
      </c>
      <c r="AR6" s="52">
        <v>3398</v>
      </c>
      <c r="AS6" s="52">
        <v>3664</v>
      </c>
      <c r="AT6" s="61">
        <v>1945</v>
      </c>
      <c r="AU6" s="52">
        <v>25</v>
      </c>
      <c r="AV6" s="40" t="s">
        <v>0</v>
      </c>
      <c r="AW6" s="52">
        <v>15</v>
      </c>
      <c r="AX6" s="52">
        <v>21</v>
      </c>
      <c r="AY6" s="40" t="s">
        <v>0</v>
      </c>
      <c r="AZ6" s="52">
        <v>33155</v>
      </c>
      <c r="BA6" s="52">
        <v>148767</v>
      </c>
      <c r="BB6" s="61">
        <v>259</v>
      </c>
      <c r="BC6" s="61">
        <v>213</v>
      </c>
      <c r="BD6" s="52">
        <v>681.3</v>
      </c>
      <c r="BE6" s="52">
        <v>10</v>
      </c>
      <c r="BF6" s="52">
        <v>16.1</v>
      </c>
      <c r="BG6" s="52">
        <v>12.5</v>
      </c>
      <c r="BH6" s="52">
        <v>2.1</v>
      </c>
      <c r="BI6" s="52">
        <v>5</v>
      </c>
      <c r="BJ6" s="52">
        <v>2071.7</v>
      </c>
      <c r="BK6" s="23">
        <v>8</v>
      </c>
      <c r="BL6" s="52">
        <v>100.8</v>
      </c>
      <c r="BM6" s="52">
        <v>0.818504580472017</v>
      </c>
      <c r="BN6" s="52">
        <v>12.1</v>
      </c>
      <c r="BO6" s="23">
        <v>56.3</v>
      </c>
      <c r="BP6" s="52">
        <v>8.3</v>
      </c>
      <c r="BQ6" s="52">
        <v>10.4</v>
      </c>
      <c r="BR6" s="52">
        <v>101.99065</v>
      </c>
      <c r="BS6" s="52">
        <v>98.4</v>
      </c>
      <c r="BT6" s="54" t="s">
        <v>0</v>
      </c>
      <c r="BU6" s="54" t="s">
        <v>0</v>
      </c>
      <c r="BV6" s="54" t="s">
        <v>0</v>
      </c>
      <c r="BW6" s="54" t="s">
        <v>0</v>
      </c>
      <c r="BX6" s="54" t="s">
        <v>0</v>
      </c>
      <c r="BY6" s="61">
        <v>431</v>
      </c>
      <c r="BZ6" s="61">
        <v>6701</v>
      </c>
      <c r="CA6" s="61">
        <v>243</v>
      </c>
      <c r="CB6" s="61">
        <v>197</v>
      </c>
      <c r="CC6" s="54" t="s">
        <v>0</v>
      </c>
      <c r="CD6" s="61">
        <v>106.38</v>
      </c>
      <c r="CE6" s="61">
        <v>14.77</v>
      </c>
      <c r="CF6" s="61">
        <v>85.93</v>
      </c>
      <c r="CG6" s="52">
        <v>2310</v>
      </c>
      <c r="CH6" s="55" t="e">
        <f t="shared" si="0"/>
        <v>#VALUE!</v>
      </c>
      <c r="CI6" s="55">
        <f t="shared" si="1"/>
        <v>14.0462938881664</v>
      </c>
      <c r="CJ6" s="61">
        <v>57020</v>
      </c>
      <c r="CK6" s="61">
        <v>55625</v>
      </c>
      <c r="CL6" s="54" t="s">
        <v>0</v>
      </c>
      <c r="CM6" s="54" t="s">
        <v>0</v>
      </c>
      <c r="CN6" s="61">
        <v>4798</v>
      </c>
      <c r="CO6" s="61">
        <v>10.2</v>
      </c>
      <c r="CP6" s="56">
        <f t="shared" si="2"/>
        <v>48.7317324979085</v>
      </c>
      <c r="CQ6" s="61" t="s">
        <v>157</v>
      </c>
      <c r="CR6" s="62">
        <f t="shared" ref="CR6:CR16" si="5">AR6/AS6*100</f>
        <v>92.7401746724891</v>
      </c>
      <c r="CS6" s="52">
        <v>12.83</v>
      </c>
      <c r="CT6" s="52">
        <v>11.68</v>
      </c>
      <c r="CU6" s="62">
        <f t="shared" ref="CU6:CU10" si="6">AK6/AJ6*100</f>
        <v>73.6023304822115</v>
      </c>
      <c r="CV6" s="54" t="s">
        <v>0</v>
      </c>
      <c r="CW6" s="52">
        <v>98.4</v>
      </c>
      <c r="CX6" s="52">
        <v>35.8</v>
      </c>
      <c r="CY6" s="61">
        <v>18000</v>
      </c>
      <c r="CZ6" s="54" t="s">
        <v>0</v>
      </c>
      <c r="DA6" s="52">
        <v>95.1</v>
      </c>
      <c r="DB6" s="52">
        <v>71.98</v>
      </c>
      <c r="DC6" s="52">
        <v>95.85</v>
      </c>
      <c r="DD6" s="61">
        <v>31.2</v>
      </c>
      <c r="DE6" s="52">
        <v>52.4</v>
      </c>
      <c r="DF6" s="54" t="s">
        <v>0</v>
      </c>
      <c r="DG6" s="61">
        <v>92.24</v>
      </c>
      <c r="DH6" s="61">
        <v>232</v>
      </c>
      <c r="DI6" s="61">
        <v>232</v>
      </c>
      <c r="DJ6" s="54" t="s">
        <v>0</v>
      </c>
      <c r="DK6" s="58">
        <v>28174</v>
      </c>
      <c r="DL6" s="58">
        <v>89335</v>
      </c>
      <c r="DM6" s="58">
        <f t="shared" si="3"/>
        <v>217.083126286647</v>
      </c>
      <c r="DN6" s="58">
        <v>370</v>
      </c>
      <c r="DO6" s="58">
        <v>658</v>
      </c>
      <c r="DP6" s="58">
        <f t="shared" si="4"/>
        <v>77.8378378378378</v>
      </c>
      <c r="DQ6" s="58">
        <v>33</v>
      </c>
    </row>
    <row r="7" s="35" customFormat="1" ht="17.6" spans="1:123">
      <c r="A7" s="49" t="s">
        <v>155</v>
      </c>
      <c r="B7" s="60" t="s">
        <v>158</v>
      </c>
      <c r="C7" s="52">
        <v>2</v>
      </c>
      <c r="D7" s="52">
        <v>7</v>
      </c>
      <c r="E7" s="52">
        <v>5</v>
      </c>
      <c r="F7" s="40">
        <v>250.9</v>
      </c>
      <c r="G7" s="40">
        <v>502.25</v>
      </c>
      <c r="H7" s="61">
        <v>290000</v>
      </c>
      <c r="I7" s="52">
        <v>37868</v>
      </c>
      <c r="J7" s="52">
        <v>199</v>
      </c>
      <c r="K7" s="52">
        <v>22638</v>
      </c>
      <c r="L7" s="40" t="s">
        <v>0</v>
      </c>
      <c r="M7" s="40" t="s">
        <v>0</v>
      </c>
      <c r="N7" s="52">
        <v>11.62</v>
      </c>
      <c r="O7" s="52">
        <v>25.29</v>
      </c>
      <c r="P7" s="42">
        <v>10.3</v>
      </c>
      <c r="Q7" s="42">
        <v>23.44</v>
      </c>
      <c r="R7" s="52">
        <v>524.6569</v>
      </c>
      <c r="S7" s="52">
        <v>54.9862</v>
      </c>
      <c r="T7" s="42">
        <v>28.37</v>
      </c>
      <c r="U7" s="42">
        <v>6.78</v>
      </c>
      <c r="V7" s="42">
        <v>22.42</v>
      </c>
      <c r="W7" s="52">
        <v>9624</v>
      </c>
      <c r="X7" s="52">
        <v>2636</v>
      </c>
      <c r="Y7" s="52">
        <v>4735460</v>
      </c>
      <c r="Z7" s="52">
        <v>93.66</v>
      </c>
      <c r="AA7" s="42">
        <v>327293</v>
      </c>
      <c r="AB7" s="42">
        <v>78284</v>
      </c>
      <c r="AC7" s="42">
        <v>417339</v>
      </c>
      <c r="AD7" s="42">
        <v>86827</v>
      </c>
      <c r="AE7" s="40" t="s">
        <v>0</v>
      </c>
      <c r="AF7" s="40" t="s">
        <v>0</v>
      </c>
      <c r="AG7" s="52">
        <v>208.75</v>
      </c>
      <c r="AH7" s="52">
        <v>223.28</v>
      </c>
      <c r="AI7" s="52">
        <v>327.04</v>
      </c>
      <c r="AJ7" s="42">
        <v>232.64</v>
      </c>
      <c r="AK7" s="42">
        <v>147.3</v>
      </c>
      <c r="AL7" s="52">
        <v>137.77</v>
      </c>
      <c r="AM7" s="42">
        <v>28879</v>
      </c>
      <c r="AN7" s="61">
        <v>17500</v>
      </c>
      <c r="AO7" s="52">
        <v>250761</v>
      </c>
      <c r="AP7" s="40" t="s">
        <v>0</v>
      </c>
      <c r="AQ7" s="40" t="s">
        <v>0</v>
      </c>
      <c r="AR7" s="52">
        <v>3286</v>
      </c>
      <c r="AS7" s="52">
        <v>3483</v>
      </c>
      <c r="AT7" s="61">
        <v>9267</v>
      </c>
      <c r="AU7" s="52">
        <v>15</v>
      </c>
      <c r="AV7" s="52">
        <v>17</v>
      </c>
      <c r="AW7" s="52">
        <v>15</v>
      </c>
      <c r="AX7" s="52">
        <v>9</v>
      </c>
      <c r="AY7" s="52">
        <v>21</v>
      </c>
      <c r="AZ7" s="52">
        <v>37364</v>
      </c>
      <c r="BA7" s="52">
        <v>154023</v>
      </c>
      <c r="BB7" s="61">
        <v>258</v>
      </c>
      <c r="BC7" s="61">
        <v>109</v>
      </c>
      <c r="BD7" s="52">
        <v>566.55</v>
      </c>
      <c r="BE7" s="52">
        <v>-1.5</v>
      </c>
      <c r="BF7" s="52">
        <v>16</v>
      </c>
      <c r="BG7" s="52">
        <v>12.2</v>
      </c>
      <c r="BH7" s="52">
        <v>32.3</v>
      </c>
      <c r="BI7" s="52">
        <v>4.1</v>
      </c>
      <c r="BJ7" s="52">
        <v>3051.9826036704</v>
      </c>
      <c r="BK7" s="52">
        <v>4.6</v>
      </c>
      <c r="BL7" s="52">
        <v>101</v>
      </c>
      <c r="BM7" s="52">
        <v>1.2946</v>
      </c>
      <c r="BN7" s="52">
        <v>-7.2</v>
      </c>
      <c r="BO7" s="23">
        <v>56.21</v>
      </c>
      <c r="BP7" s="52">
        <v>8.2</v>
      </c>
      <c r="BQ7" s="52">
        <v>10.2</v>
      </c>
      <c r="BR7" s="52">
        <v>101.87926</v>
      </c>
      <c r="BS7" s="52">
        <v>92.6</v>
      </c>
      <c r="BT7" s="23">
        <v>0.051</v>
      </c>
      <c r="BU7" s="23">
        <v>1.37</v>
      </c>
      <c r="BV7" s="61">
        <v>98.3</v>
      </c>
      <c r="BW7" s="54" t="s">
        <v>0</v>
      </c>
      <c r="BX7" s="61">
        <v>92.65</v>
      </c>
      <c r="BY7" s="61">
        <v>151</v>
      </c>
      <c r="BZ7" s="61">
        <v>247</v>
      </c>
      <c r="CA7" s="61">
        <v>112</v>
      </c>
      <c r="CB7" s="61">
        <v>227</v>
      </c>
      <c r="CC7" s="61">
        <v>99.3</v>
      </c>
      <c r="CD7" s="61">
        <v>105.73</v>
      </c>
      <c r="CE7" s="52">
        <v>11.21</v>
      </c>
      <c r="CF7" s="54">
        <v>89.76</v>
      </c>
      <c r="CG7" s="52">
        <v>2004</v>
      </c>
      <c r="CH7" s="55">
        <f t="shared" si="0"/>
        <v>38.3442873265618</v>
      </c>
      <c r="CI7" s="55">
        <f t="shared" si="1"/>
        <v>23.2357432118436</v>
      </c>
      <c r="CJ7" s="61">
        <v>18300</v>
      </c>
      <c r="CK7" s="61">
        <v>17700</v>
      </c>
      <c r="CL7" s="61">
        <v>2983</v>
      </c>
      <c r="CM7" s="54">
        <v>0</v>
      </c>
      <c r="CN7" s="61">
        <v>60900</v>
      </c>
      <c r="CO7" s="23">
        <v>9.49</v>
      </c>
      <c r="CP7" s="56">
        <f t="shared" si="2"/>
        <v>65.1149825783972</v>
      </c>
      <c r="CQ7" s="61" t="s">
        <v>159</v>
      </c>
      <c r="CR7" s="62">
        <f t="shared" si="5"/>
        <v>94.3439563594602</v>
      </c>
      <c r="CS7" s="52">
        <v>9.4</v>
      </c>
      <c r="CT7" s="52">
        <v>7.44</v>
      </c>
      <c r="CU7" s="23">
        <v>63.61</v>
      </c>
      <c r="CV7" s="54" t="s">
        <v>0</v>
      </c>
      <c r="CW7" s="52">
        <v>99.01</v>
      </c>
      <c r="CX7" s="54">
        <v>34.5</v>
      </c>
      <c r="CY7" s="54" t="s">
        <v>0</v>
      </c>
      <c r="CZ7" s="54" t="s">
        <v>0</v>
      </c>
      <c r="DA7" s="52">
        <v>70</v>
      </c>
      <c r="DB7" s="52">
        <v>100</v>
      </c>
      <c r="DC7" s="52">
        <v>95</v>
      </c>
      <c r="DD7" s="23">
        <v>36.44</v>
      </c>
      <c r="DE7" s="52">
        <v>52.2</v>
      </c>
      <c r="DF7" s="61">
        <v>162</v>
      </c>
      <c r="DG7" s="54" t="s">
        <v>0</v>
      </c>
      <c r="DH7" s="52">
        <v>9</v>
      </c>
      <c r="DI7" s="52">
        <v>3</v>
      </c>
      <c r="DJ7" s="61">
        <v>24</v>
      </c>
      <c r="DK7" s="58">
        <v>33700</v>
      </c>
      <c r="DL7" s="58">
        <v>51238</v>
      </c>
      <c r="DM7" s="58">
        <f t="shared" si="3"/>
        <v>52.0415430267062</v>
      </c>
      <c r="DN7" s="58" t="s">
        <v>0</v>
      </c>
      <c r="DO7" s="58">
        <v>357</v>
      </c>
      <c r="DP7" s="58" t="e">
        <f t="shared" si="4"/>
        <v>#VALUE!</v>
      </c>
      <c r="DQ7" s="58">
        <v>9</v>
      </c>
    </row>
    <row r="8" s="35" customFormat="1" ht="17.6" spans="1:123">
      <c r="A8" s="49" t="s">
        <v>155</v>
      </c>
      <c r="B8" s="60" t="s">
        <v>160</v>
      </c>
      <c r="C8" s="52">
        <v>0</v>
      </c>
      <c r="D8" s="52">
        <v>3</v>
      </c>
      <c r="E8" s="52">
        <v>4</v>
      </c>
      <c r="F8" s="61">
        <v>133.59</v>
      </c>
      <c r="G8" s="61">
        <v>161.46</v>
      </c>
      <c r="H8" s="40" t="s">
        <v>0</v>
      </c>
      <c r="I8" s="52">
        <v>22312</v>
      </c>
      <c r="J8" s="52">
        <v>182</v>
      </c>
      <c r="K8" s="52">
        <v>13193</v>
      </c>
      <c r="L8" s="40" t="s">
        <v>0</v>
      </c>
      <c r="M8" s="40" t="s">
        <v>0</v>
      </c>
      <c r="N8" s="52">
        <v>0.08</v>
      </c>
      <c r="O8" s="52">
        <v>7.98</v>
      </c>
      <c r="P8" s="40" t="s">
        <v>0</v>
      </c>
      <c r="Q8" s="40" t="s">
        <v>0</v>
      </c>
      <c r="R8" s="52">
        <v>211.9627</v>
      </c>
      <c r="S8" s="52">
        <v>21.3762</v>
      </c>
      <c r="T8" s="52">
        <v>12.1411</v>
      </c>
      <c r="U8" s="52">
        <v>2.809</v>
      </c>
      <c r="V8" s="52">
        <v>12.7659</v>
      </c>
      <c r="W8" s="52">
        <v>5258</v>
      </c>
      <c r="X8" s="52">
        <v>1310</v>
      </c>
      <c r="Y8" s="52">
        <v>1641605</v>
      </c>
      <c r="Z8" s="52">
        <v>33.87</v>
      </c>
      <c r="AA8" s="40" t="s">
        <v>0</v>
      </c>
      <c r="AB8" s="40" t="s">
        <v>0</v>
      </c>
      <c r="AC8" s="40" t="s">
        <v>0</v>
      </c>
      <c r="AD8" s="40" t="s">
        <v>0</v>
      </c>
      <c r="AE8" s="40" t="s">
        <v>0</v>
      </c>
      <c r="AF8" s="40" t="s">
        <v>0</v>
      </c>
      <c r="AG8" s="52">
        <v>74.9</v>
      </c>
      <c r="AH8" s="52">
        <v>94.9</v>
      </c>
      <c r="AI8" s="52">
        <v>111.3</v>
      </c>
      <c r="AJ8" s="52">
        <v>62.99</v>
      </c>
      <c r="AK8" s="52">
        <v>82.16</v>
      </c>
      <c r="AL8" s="52">
        <v>60.97</v>
      </c>
      <c r="AM8" s="40" t="s">
        <v>0</v>
      </c>
      <c r="AN8" s="61">
        <v>4589</v>
      </c>
      <c r="AO8" s="52">
        <v>65512</v>
      </c>
      <c r="AP8" s="40" t="s">
        <v>0</v>
      </c>
      <c r="AQ8" s="40" t="s">
        <v>0</v>
      </c>
      <c r="AR8" s="52">
        <v>917</v>
      </c>
      <c r="AS8" s="52">
        <v>1918</v>
      </c>
      <c r="AT8" s="61">
        <v>2197</v>
      </c>
      <c r="AU8" s="52">
        <v>8</v>
      </c>
      <c r="AV8" s="40" t="s">
        <v>0</v>
      </c>
      <c r="AW8" s="52">
        <v>8</v>
      </c>
      <c r="AX8" s="52">
        <v>22</v>
      </c>
      <c r="AY8" s="40" t="s">
        <v>0</v>
      </c>
      <c r="AZ8" s="52">
        <v>39292</v>
      </c>
      <c r="BA8" s="52">
        <v>68473</v>
      </c>
      <c r="BB8" s="61">
        <v>73</v>
      </c>
      <c r="BC8" s="61">
        <v>46</v>
      </c>
      <c r="BD8" s="52">
        <v>206.41</v>
      </c>
      <c r="BE8" s="52">
        <v>4.5</v>
      </c>
      <c r="BF8" s="52">
        <v>2.8</v>
      </c>
      <c r="BG8" s="52">
        <v>12.2</v>
      </c>
      <c r="BH8" s="52">
        <v>-1.5</v>
      </c>
      <c r="BI8" s="52">
        <v>10</v>
      </c>
      <c r="BJ8" s="52">
        <v>341.7384876288</v>
      </c>
      <c r="BK8" s="52">
        <v>4.7</v>
      </c>
      <c r="BL8" s="52">
        <v>92.5</v>
      </c>
      <c r="BM8" s="52">
        <v>0.803177688768352</v>
      </c>
      <c r="BN8" s="52">
        <v>4.63</v>
      </c>
      <c r="BO8" s="52">
        <v>52.02</v>
      </c>
      <c r="BP8" s="52">
        <v>8.5</v>
      </c>
      <c r="BQ8" s="52">
        <v>10.6</v>
      </c>
      <c r="BR8" s="52">
        <v>102.29411</v>
      </c>
      <c r="BS8" s="61">
        <v>95.9</v>
      </c>
      <c r="BT8" s="54" t="s">
        <v>0</v>
      </c>
      <c r="BU8" s="63">
        <v>0.1</v>
      </c>
      <c r="BV8" s="54" t="s">
        <v>0</v>
      </c>
      <c r="BW8" s="54" t="s">
        <v>0</v>
      </c>
      <c r="BX8" s="61">
        <v>87.6</v>
      </c>
      <c r="BY8" s="61">
        <v>41</v>
      </c>
      <c r="BZ8" s="54" t="s">
        <v>0</v>
      </c>
      <c r="CA8" s="61">
        <v>67</v>
      </c>
      <c r="CB8" s="61">
        <v>57</v>
      </c>
      <c r="CC8" s="61">
        <v>98</v>
      </c>
      <c r="CD8" s="61">
        <v>110.12</v>
      </c>
      <c r="CE8" s="52">
        <v>11.26</v>
      </c>
      <c r="CF8" s="61">
        <v>93.73</v>
      </c>
      <c r="CG8" s="52">
        <v>1324</v>
      </c>
      <c r="CH8" s="55" t="e">
        <f t="shared" si="0"/>
        <v>#VALUE!</v>
      </c>
      <c r="CI8" s="55">
        <f t="shared" si="1"/>
        <v>15.5532960515167</v>
      </c>
      <c r="CJ8" s="61">
        <v>18061</v>
      </c>
      <c r="CK8" s="61">
        <v>17607</v>
      </c>
      <c r="CL8" s="61">
        <v>2293</v>
      </c>
      <c r="CM8" s="54" t="s">
        <v>0</v>
      </c>
      <c r="CN8" s="61">
        <v>14157</v>
      </c>
      <c r="CO8" s="52">
        <v>4.94</v>
      </c>
      <c r="CP8" s="56">
        <f t="shared" si="2"/>
        <v>68.9334819769602</v>
      </c>
      <c r="CQ8" s="52" t="s">
        <v>161</v>
      </c>
      <c r="CR8" s="61">
        <v>54</v>
      </c>
      <c r="CS8" s="52">
        <v>21.83</v>
      </c>
      <c r="CT8" s="52">
        <v>9.1</v>
      </c>
      <c r="CU8" s="62">
        <f t="shared" si="6"/>
        <v>130.433402127322</v>
      </c>
      <c r="CV8" s="54" t="s">
        <v>0</v>
      </c>
      <c r="CW8" s="61">
        <v>97.72</v>
      </c>
      <c r="CX8" s="61">
        <v>44.5</v>
      </c>
      <c r="CY8" s="54" t="s">
        <v>0</v>
      </c>
      <c r="CZ8" s="54" t="s">
        <v>0</v>
      </c>
      <c r="DA8" s="52">
        <v>65</v>
      </c>
      <c r="DB8" s="52">
        <v>157.94</v>
      </c>
      <c r="DC8" s="52">
        <v>98.38</v>
      </c>
      <c r="DD8" s="54" t="s">
        <v>0</v>
      </c>
      <c r="DE8" s="52">
        <v>56.3</v>
      </c>
      <c r="DF8" s="61">
        <v>903</v>
      </c>
      <c r="DG8" s="61">
        <v>100</v>
      </c>
      <c r="DH8" s="61">
        <v>57</v>
      </c>
      <c r="DI8" s="61">
        <v>57</v>
      </c>
      <c r="DJ8" s="54" t="s">
        <v>0</v>
      </c>
      <c r="DK8" s="58">
        <v>40000</v>
      </c>
      <c r="DL8" s="58">
        <v>9830</v>
      </c>
      <c r="DM8" s="58">
        <f t="shared" si="3"/>
        <v>-75.425</v>
      </c>
      <c r="DN8" s="58">
        <v>31</v>
      </c>
      <c r="DO8" s="58">
        <v>106</v>
      </c>
      <c r="DP8" s="58">
        <f t="shared" si="4"/>
        <v>241.935483870968</v>
      </c>
      <c r="DQ8" s="58">
        <v>6</v>
      </c>
    </row>
    <row r="9" s="35" customFormat="1" ht="17.6" spans="1:123">
      <c r="A9" s="49" t="s">
        <v>155</v>
      </c>
      <c r="B9" s="60" t="s">
        <v>162</v>
      </c>
      <c r="C9" s="52">
        <v>1</v>
      </c>
      <c r="D9" s="52">
        <v>4</v>
      </c>
      <c r="E9" s="52">
        <v>14</v>
      </c>
      <c r="F9" s="40">
        <v>329.45</v>
      </c>
      <c r="G9" s="40">
        <v>700.03</v>
      </c>
      <c r="H9" s="40">
        <v>311266</v>
      </c>
      <c r="I9" s="52">
        <v>49714</v>
      </c>
      <c r="J9" s="52">
        <v>76</v>
      </c>
      <c r="K9" s="52">
        <v>28553</v>
      </c>
      <c r="L9" s="40" t="s">
        <v>0</v>
      </c>
      <c r="M9" s="23">
        <v>102.6</v>
      </c>
      <c r="N9" s="52">
        <v>18.34</v>
      </c>
      <c r="O9" s="52">
        <v>122.16</v>
      </c>
      <c r="P9" s="42">
        <v>5.5</v>
      </c>
      <c r="Q9" s="42">
        <v>15.61</v>
      </c>
      <c r="R9" s="52">
        <v>404.6724</v>
      </c>
      <c r="S9" s="52">
        <v>47.9816</v>
      </c>
      <c r="T9" s="42">
        <v>22.13</v>
      </c>
      <c r="U9" s="42">
        <v>6.9</v>
      </c>
      <c r="V9" s="42">
        <v>16.36</v>
      </c>
      <c r="W9" s="52">
        <v>8092</v>
      </c>
      <c r="X9" s="52">
        <v>1498</v>
      </c>
      <c r="Y9" s="52">
        <v>2901676</v>
      </c>
      <c r="Z9" s="52">
        <v>626.03</v>
      </c>
      <c r="AA9" s="42">
        <v>287104</v>
      </c>
      <c r="AB9" s="42">
        <v>83556</v>
      </c>
      <c r="AC9" s="42">
        <v>325333</v>
      </c>
      <c r="AD9" s="42">
        <v>87407</v>
      </c>
      <c r="AE9" s="61">
        <v>682</v>
      </c>
      <c r="AF9" s="61">
        <v>352</v>
      </c>
      <c r="AG9" s="52">
        <v>118</v>
      </c>
      <c r="AH9" s="52">
        <v>188.3</v>
      </c>
      <c r="AI9" s="52">
        <v>406.6</v>
      </c>
      <c r="AJ9" s="42">
        <v>268.4</v>
      </c>
      <c r="AK9" s="52">
        <v>77.6</v>
      </c>
      <c r="AL9" s="52">
        <v>115.3</v>
      </c>
      <c r="AM9" s="61">
        <v>21936</v>
      </c>
      <c r="AN9" s="61">
        <v>38931</v>
      </c>
      <c r="AO9" s="52">
        <v>145946</v>
      </c>
      <c r="AP9" s="40" t="s">
        <v>0</v>
      </c>
      <c r="AQ9" s="40" t="s">
        <v>0</v>
      </c>
      <c r="AR9" s="52">
        <v>4750</v>
      </c>
      <c r="AS9" s="42">
        <v>5224</v>
      </c>
      <c r="AT9" s="61">
        <v>6693</v>
      </c>
      <c r="AU9" s="40" t="s">
        <v>0</v>
      </c>
      <c r="AV9" s="42">
        <v>33</v>
      </c>
      <c r="AW9" s="42">
        <v>257</v>
      </c>
      <c r="AX9" s="40" t="s">
        <v>0</v>
      </c>
      <c r="AY9" s="52">
        <v>45</v>
      </c>
      <c r="AZ9" s="52">
        <v>108847</v>
      </c>
      <c r="BA9" s="52">
        <v>259859</v>
      </c>
      <c r="BB9" s="61">
        <v>182</v>
      </c>
      <c r="BC9" s="61">
        <v>72</v>
      </c>
      <c r="BD9" s="52">
        <v>305.2</v>
      </c>
      <c r="BE9" s="52">
        <v>1.3</v>
      </c>
      <c r="BF9" s="52">
        <v>15.1</v>
      </c>
      <c r="BG9" s="52">
        <v>12.3</v>
      </c>
      <c r="BH9" s="52">
        <v>-0.9</v>
      </c>
      <c r="BI9" s="52">
        <v>4.7</v>
      </c>
      <c r="BJ9" s="52">
        <v>1205.1266172</v>
      </c>
      <c r="BK9" s="52">
        <v>5.1</v>
      </c>
      <c r="BL9" s="52">
        <v>76.1</v>
      </c>
      <c r="BM9" s="52">
        <v>1.12740008298799</v>
      </c>
      <c r="BN9" s="52">
        <v>9.49</v>
      </c>
      <c r="BO9" s="54">
        <v>49.13</v>
      </c>
      <c r="BP9" s="52">
        <v>9.1</v>
      </c>
      <c r="BQ9" s="52">
        <v>11.1</v>
      </c>
      <c r="BR9" s="52">
        <v>102.1209</v>
      </c>
      <c r="BS9" s="54">
        <v>92.39</v>
      </c>
      <c r="BT9" s="54" t="s">
        <v>0</v>
      </c>
      <c r="BU9" s="54" t="s">
        <v>0</v>
      </c>
      <c r="BV9" s="61">
        <v>88.9</v>
      </c>
      <c r="BW9" s="61">
        <v>84.6</v>
      </c>
      <c r="BX9" s="61">
        <v>93</v>
      </c>
      <c r="BY9" s="54" t="s">
        <v>0</v>
      </c>
      <c r="BZ9" s="54" t="s">
        <v>0</v>
      </c>
      <c r="CA9" s="54" t="s">
        <v>0</v>
      </c>
      <c r="CB9" s="61">
        <v>334</v>
      </c>
      <c r="CC9" s="54" t="s">
        <v>0</v>
      </c>
      <c r="CD9" s="54">
        <v>107.96</v>
      </c>
      <c r="CE9" s="52">
        <v>14.1</v>
      </c>
      <c r="CF9" s="54">
        <v>84.88</v>
      </c>
      <c r="CG9" s="52">
        <v>1449</v>
      </c>
      <c r="CH9" s="55">
        <f t="shared" si="0"/>
        <v>21.3078447371489</v>
      </c>
      <c r="CI9" s="55">
        <f t="shared" si="1"/>
        <v>37.8161790418464</v>
      </c>
      <c r="CJ9" s="54" t="s">
        <v>0</v>
      </c>
      <c r="CK9" s="54" t="s">
        <v>0</v>
      </c>
      <c r="CL9" s="61">
        <v>5011</v>
      </c>
      <c r="CM9" s="54">
        <v>1</v>
      </c>
      <c r="CN9" s="61">
        <v>91669</v>
      </c>
      <c r="CO9" s="52">
        <v>10.3</v>
      </c>
      <c r="CP9" s="56">
        <f t="shared" si="2"/>
        <v>58.0832250046427</v>
      </c>
      <c r="CQ9" s="52" t="s">
        <v>163</v>
      </c>
      <c r="CR9" s="62">
        <f t="shared" si="5"/>
        <v>90.9264931087289</v>
      </c>
      <c r="CS9" s="52">
        <v>17.96</v>
      </c>
      <c r="CT9" s="52">
        <v>16.17</v>
      </c>
      <c r="CU9" s="52">
        <v>28.9</v>
      </c>
      <c r="CV9" s="54" t="s">
        <v>0</v>
      </c>
      <c r="CW9" s="52">
        <v>99.3</v>
      </c>
      <c r="CX9" s="54">
        <v>26.2</v>
      </c>
      <c r="CY9" s="54" t="s">
        <v>0</v>
      </c>
      <c r="CZ9" s="54" t="s">
        <v>0</v>
      </c>
      <c r="DA9" s="52">
        <v>95</v>
      </c>
      <c r="DB9" s="52">
        <v>100</v>
      </c>
      <c r="DC9" s="52">
        <v>97.56</v>
      </c>
      <c r="DD9" s="23">
        <v>24.11</v>
      </c>
      <c r="DE9" s="52">
        <v>53.5</v>
      </c>
      <c r="DF9" s="54" t="s">
        <v>0</v>
      </c>
      <c r="DG9" s="54" t="s">
        <v>0</v>
      </c>
      <c r="DH9" s="52">
        <v>0</v>
      </c>
      <c r="DI9" s="52">
        <v>0</v>
      </c>
      <c r="DJ9" s="54" t="s">
        <v>0</v>
      </c>
      <c r="DK9" s="58">
        <v>426</v>
      </c>
      <c r="DL9" s="58">
        <v>72000</v>
      </c>
      <c r="DM9" s="58">
        <f t="shared" si="3"/>
        <v>16801.4084507042</v>
      </c>
      <c r="DN9" s="58">
        <v>0</v>
      </c>
      <c r="DO9" s="58">
        <v>78</v>
      </c>
      <c r="DP9" s="58" t="e">
        <f t="shared" si="4"/>
        <v>#DIV/0!</v>
      </c>
      <c r="DQ9" s="58">
        <v>0</v>
      </c>
    </row>
    <row r="10" s="35" customFormat="1" ht="17.6" spans="1:123">
      <c r="A10" s="49" t="s">
        <v>155</v>
      </c>
      <c r="B10" s="60" t="s">
        <v>164</v>
      </c>
      <c r="C10" s="52">
        <v>2</v>
      </c>
      <c r="D10" s="52">
        <v>2</v>
      </c>
      <c r="E10" s="52">
        <v>15</v>
      </c>
      <c r="F10" s="40">
        <v>329.65</v>
      </c>
      <c r="G10" s="40">
        <v>395.98</v>
      </c>
      <c r="H10" s="40">
        <v>412225</v>
      </c>
      <c r="I10" s="52">
        <v>27214</v>
      </c>
      <c r="J10" s="52">
        <v>65</v>
      </c>
      <c r="K10" s="52">
        <v>19160</v>
      </c>
      <c r="L10" s="40" t="s">
        <v>0</v>
      </c>
      <c r="M10" s="40" t="s">
        <v>0</v>
      </c>
      <c r="N10" s="52">
        <v>2.79</v>
      </c>
      <c r="O10" s="52">
        <v>9.93</v>
      </c>
      <c r="P10" s="42">
        <v>2.43</v>
      </c>
      <c r="Q10" s="42">
        <v>9.82</v>
      </c>
      <c r="R10" s="52">
        <v>294.6228</v>
      </c>
      <c r="S10" s="52">
        <v>28.081</v>
      </c>
      <c r="T10" s="42">
        <v>16.43</v>
      </c>
      <c r="U10" s="42">
        <v>3.67</v>
      </c>
      <c r="V10" s="42">
        <v>15.48</v>
      </c>
      <c r="W10" s="52">
        <v>4415</v>
      </c>
      <c r="X10" s="52">
        <v>1283</v>
      </c>
      <c r="Y10" s="52">
        <v>1743361</v>
      </c>
      <c r="Z10" s="52">
        <v>46.07</v>
      </c>
      <c r="AA10" s="42">
        <v>2677293</v>
      </c>
      <c r="AB10" s="42">
        <v>74790</v>
      </c>
      <c r="AC10" s="42">
        <v>2748511</v>
      </c>
      <c r="AD10" s="42">
        <v>74273</v>
      </c>
      <c r="AE10" s="40" t="s">
        <v>0</v>
      </c>
      <c r="AF10" s="61">
        <v>6240</v>
      </c>
      <c r="AG10" s="52">
        <v>63.8</v>
      </c>
      <c r="AH10" s="52">
        <v>164.8</v>
      </c>
      <c r="AI10" s="52">
        <v>358.75</v>
      </c>
      <c r="AJ10" s="42">
        <v>230.49</v>
      </c>
      <c r="AK10" s="52">
        <v>78.7</v>
      </c>
      <c r="AL10" s="52">
        <v>92</v>
      </c>
      <c r="AM10" s="61">
        <v>15663</v>
      </c>
      <c r="AN10" s="61">
        <v>10888</v>
      </c>
      <c r="AO10" s="52">
        <v>90924</v>
      </c>
      <c r="AP10" s="42">
        <v>12</v>
      </c>
      <c r="AQ10" s="40" t="s">
        <v>0</v>
      </c>
      <c r="AR10" s="52">
        <v>4732</v>
      </c>
      <c r="AS10" s="42">
        <v>4953</v>
      </c>
      <c r="AT10" s="61">
        <v>6885</v>
      </c>
      <c r="AU10" s="52">
        <v>20</v>
      </c>
      <c r="AV10" s="42">
        <v>22</v>
      </c>
      <c r="AW10" s="42">
        <v>20</v>
      </c>
      <c r="AX10" s="52">
        <v>11</v>
      </c>
      <c r="AY10" s="40" t="s">
        <v>0</v>
      </c>
      <c r="AZ10" s="52">
        <v>75899</v>
      </c>
      <c r="BA10" s="52">
        <v>242225</v>
      </c>
      <c r="BB10" s="61">
        <v>212</v>
      </c>
      <c r="BC10" s="61">
        <v>115</v>
      </c>
      <c r="BD10" s="52">
        <v>174.4</v>
      </c>
      <c r="BE10" s="52">
        <v>4.4</v>
      </c>
      <c r="BF10" s="52">
        <v>15</v>
      </c>
      <c r="BG10" s="52">
        <v>12.4</v>
      </c>
      <c r="BH10" s="23">
        <v>13.2</v>
      </c>
      <c r="BI10" s="52">
        <v>5.7</v>
      </c>
      <c r="BJ10" s="52">
        <v>610.193813024</v>
      </c>
      <c r="BK10" s="52">
        <v>4.6</v>
      </c>
      <c r="BL10" s="52">
        <v>108.7</v>
      </c>
      <c r="BM10" s="52">
        <v>1.0521</v>
      </c>
      <c r="BN10" s="52">
        <v>7.23</v>
      </c>
      <c r="BO10" s="54">
        <v>45.53</v>
      </c>
      <c r="BP10" s="52">
        <v>10</v>
      </c>
      <c r="BQ10" s="52">
        <v>12</v>
      </c>
      <c r="BR10" s="52">
        <v>101.67892</v>
      </c>
      <c r="BS10" s="52">
        <v>93.9</v>
      </c>
      <c r="BT10" s="56">
        <v>0.111115105048099</v>
      </c>
      <c r="BU10" s="56">
        <v>0.00645161290322581</v>
      </c>
      <c r="BV10" s="54" t="s">
        <v>0</v>
      </c>
      <c r="BW10" s="54" t="s">
        <v>0</v>
      </c>
      <c r="BX10" s="54" t="s">
        <v>0</v>
      </c>
      <c r="BY10" s="54">
        <v>381</v>
      </c>
      <c r="BZ10" s="54" t="s">
        <v>0</v>
      </c>
      <c r="CA10" s="54">
        <v>125</v>
      </c>
      <c r="CB10" s="54">
        <v>37</v>
      </c>
      <c r="CC10" s="54" t="s">
        <v>0</v>
      </c>
      <c r="CD10" s="61">
        <v>108.91</v>
      </c>
      <c r="CE10" s="52">
        <v>14.42</v>
      </c>
      <c r="CF10" s="61">
        <v>87.69</v>
      </c>
      <c r="CG10" s="52">
        <v>1777</v>
      </c>
      <c r="CH10" s="55">
        <f t="shared" si="0"/>
        <v>21.585380979287</v>
      </c>
      <c r="CI10" s="55">
        <f t="shared" si="1"/>
        <v>15.0048923004837</v>
      </c>
      <c r="CJ10" s="54" t="s">
        <v>0</v>
      </c>
      <c r="CK10" s="54" t="s">
        <v>0</v>
      </c>
      <c r="CL10" s="54" t="s">
        <v>0</v>
      </c>
      <c r="CM10" s="54">
        <v>5</v>
      </c>
      <c r="CN10" s="54" t="s">
        <v>0</v>
      </c>
      <c r="CO10" s="54" t="s">
        <v>0</v>
      </c>
      <c r="CP10" s="56">
        <f t="shared" si="2"/>
        <v>90.5980100005051</v>
      </c>
      <c r="CQ10" s="54" t="s">
        <v>0</v>
      </c>
      <c r="CR10" s="62">
        <f t="shared" si="5"/>
        <v>95.5380577427822</v>
      </c>
      <c r="CS10" s="52">
        <v>16.66</v>
      </c>
      <c r="CT10" s="52">
        <v>21.57</v>
      </c>
      <c r="CU10" s="62">
        <f t="shared" si="6"/>
        <v>34.1446483578463</v>
      </c>
      <c r="CV10" s="54" t="s">
        <v>0</v>
      </c>
      <c r="CW10" s="54" t="s">
        <v>0</v>
      </c>
      <c r="CX10" s="61">
        <v>26.7</v>
      </c>
      <c r="CY10" s="54" t="s">
        <v>0</v>
      </c>
      <c r="CZ10" s="54" t="s">
        <v>0</v>
      </c>
      <c r="DA10" s="52">
        <v>95.29</v>
      </c>
      <c r="DB10" s="52">
        <v>99.02</v>
      </c>
      <c r="DC10" s="52">
        <v>93.28</v>
      </c>
      <c r="DD10" s="61">
        <v>23.9</v>
      </c>
      <c r="DE10" s="61">
        <v>52.7</v>
      </c>
      <c r="DF10" s="61">
        <v>2144</v>
      </c>
      <c r="DG10" s="61">
        <f>305/337*100</f>
        <v>90.5044510385757</v>
      </c>
      <c r="DH10" s="61">
        <v>439</v>
      </c>
      <c r="DI10" s="61">
        <v>644</v>
      </c>
      <c r="DJ10" s="61">
        <v>36</v>
      </c>
      <c r="DK10" s="58">
        <v>28558</v>
      </c>
      <c r="DL10" s="58">
        <v>55000</v>
      </c>
      <c r="DM10" s="58">
        <f t="shared" si="3"/>
        <v>92.5905175432453</v>
      </c>
      <c r="DN10" s="58">
        <v>37</v>
      </c>
      <c r="DO10" s="58" t="s">
        <v>0</v>
      </c>
      <c r="DP10" s="58" t="e">
        <f t="shared" si="4"/>
        <v>#VALUE!</v>
      </c>
      <c r="DQ10" s="58" t="s">
        <v>0</v>
      </c>
    </row>
    <row r="11" s="35" customFormat="1" ht="17.6" spans="1:123">
      <c r="A11" s="49" t="s">
        <v>155</v>
      </c>
      <c r="B11" s="60" t="s">
        <v>165</v>
      </c>
      <c r="C11" s="52">
        <v>4</v>
      </c>
      <c r="D11" s="52">
        <v>3</v>
      </c>
      <c r="E11" s="52">
        <v>18</v>
      </c>
      <c r="F11" s="23">
        <v>454.6</v>
      </c>
      <c r="G11" s="23">
        <v>574.9</v>
      </c>
      <c r="H11" s="40" t="s">
        <v>0</v>
      </c>
      <c r="I11" s="52">
        <v>52306</v>
      </c>
      <c r="J11" s="52">
        <v>233</v>
      </c>
      <c r="K11" s="52">
        <v>28510</v>
      </c>
      <c r="L11" s="40">
        <v>1736.75</v>
      </c>
      <c r="M11" s="40" t="s">
        <v>0</v>
      </c>
      <c r="N11" s="52">
        <v>0.1</v>
      </c>
      <c r="O11" s="52">
        <v>0.1</v>
      </c>
      <c r="P11" s="42">
        <v>0.1</v>
      </c>
      <c r="Q11" s="42">
        <v>21.88</v>
      </c>
      <c r="R11" s="52">
        <v>457.5943</v>
      </c>
      <c r="S11" s="52">
        <v>51.4149</v>
      </c>
      <c r="T11" s="42">
        <v>20.25</v>
      </c>
      <c r="U11" s="42">
        <v>7.07</v>
      </c>
      <c r="V11" s="42">
        <v>12.95</v>
      </c>
      <c r="W11" s="52">
        <v>5737</v>
      </c>
      <c r="X11" s="52">
        <v>3385</v>
      </c>
      <c r="Y11" s="52">
        <v>3993445</v>
      </c>
      <c r="Z11" s="52">
        <v>275.3</v>
      </c>
      <c r="AA11" s="42">
        <v>3051602</v>
      </c>
      <c r="AB11" s="42">
        <v>89827</v>
      </c>
      <c r="AC11" s="42">
        <v>3663794</v>
      </c>
      <c r="AD11" s="42">
        <v>103006</v>
      </c>
      <c r="AE11" s="40" t="s">
        <v>0</v>
      </c>
      <c r="AF11" s="40" t="s">
        <v>0</v>
      </c>
      <c r="AG11" s="52">
        <v>606.4</v>
      </c>
      <c r="AH11" s="52">
        <v>209.28</v>
      </c>
      <c r="AI11" s="52">
        <v>521.06</v>
      </c>
      <c r="AJ11" s="42">
        <v>379.9</v>
      </c>
      <c r="AK11" s="23">
        <v>86.9</v>
      </c>
      <c r="AL11" s="52">
        <v>174</v>
      </c>
      <c r="AM11" s="61">
        <v>19225</v>
      </c>
      <c r="AN11" s="61">
        <v>26178</v>
      </c>
      <c r="AO11" s="52">
        <v>64676</v>
      </c>
      <c r="AP11" s="40" t="s">
        <v>0</v>
      </c>
      <c r="AQ11" s="40" t="s">
        <v>0</v>
      </c>
      <c r="AR11" s="52">
        <v>4750</v>
      </c>
      <c r="AS11" s="42">
        <v>5717</v>
      </c>
      <c r="AT11" s="61">
        <v>9482</v>
      </c>
      <c r="AU11" s="40" t="s">
        <v>0</v>
      </c>
      <c r="AV11" s="40" t="s">
        <v>0</v>
      </c>
      <c r="AW11" s="52">
        <v>21</v>
      </c>
      <c r="AX11" s="40" t="s">
        <v>0</v>
      </c>
      <c r="AY11" s="52">
        <v>43</v>
      </c>
      <c r="AZ11" s="52">
        <v>64555</v>
      </c>
      <c r="BA11" s="52">
        <v>293136</v>
      </c>
      <c r="BB11" s="61">
        <v>189</v>
      </c>
      <c r="BC11" s="61">
        <v>120</v>
      </c>
      <c r="BD11" s="52">
        <v>326.1</v>
      </c>
      <c r="BE11" s="52">
        <v>0.4</v>
      </c>
      <c r="BF11" s="52">
        <v>12.6</v>
      </c>
      <c r="BG11" s="52">
        <v>12.4</v>
      </c>
      <c r="BH11" s="52">
        <v>2.2</v>
      </c>
      <c r="BI11" s="52">
        <v>-3.9</v>
      </c>
      <c r="BJ11" s="52">
        <v>1069.2</v>
      </c>
      <c r="BK11" s="52">
        <v>6.7</v>
      </c>
      <c r="BL11" s="52">
        <v>99.8</v>
      </c>
      <c r="BM11" s="52">
        <v>0.698795385282607</v>
      </c>
      <c r="BN11" s="52">
        <v>13.97</v>
      </c>
      <c r="BO11" s="23">
        <v>44.2</v>
      </c>
      <c r="BP11" s="52">
        <v>9.6</v>
      </c>
      <c r="BQ11" s="52">
        <v>12.2</v>
      </c>
      <c r="BR11" s="52">
        <v>101.53103</v>
      </c>
      <c r="BS11" s="52">
        <v>98.6</v>
      </c>
      <c r="BT11" s="52">
        <v>0.027</v>
      </c>
      <c r="BU11" s="54" t="s">
        <v>0</v>
      </c>
      <c r="BV11" s="61">
        <v>97</v>
      </c>
      <c r="BW11" s="54" t="s">
        <v>0</v>
      </c>
      <c r="BX11" s="54" t="s">
        <v>0</v>
      </c>
      <c r="BY11" s="61">
        <v>294</v>
      </c>
      <c r="BZ11" s="54" t="s">
        <v>0</v>
      </c>
      <c r="CA11" s="61">
        <v>106</v>
      </c>
      <c r="CB11" s="61">
        <v>128</v>
      </c>
      <c r="CC11" s="54" t="s">
        <v>0</v>
      </c>
      <c r="CD11" s="54" t="s">
        <v>0</v>
      </c>
      <c r="CE11" s="52">
        <v>13.89</v>
      </c>
      <c r="CF11" s="61">
        <v>87.14</v>
      </c>
      <c r="CG11" s="52">
        <v>2353</v>
      </c>
      <c r="CH11" s="55">
        <f t="shared" si="0"/>
        <v>18.6741136474017</v>
      </c>
      <c r="CI11" s="55">
        <f t="shared" si="1"/>
        <v>25.4278776104905</v>
      </c>
      <c r="CJ11" s="61">
        <v>32866</v>
      </c>
      <c r="CK11" s="61">
        <v>32735</v>
      </c>
      <c r="CL11" s="61">
        <v>2289</v>
      </c>
      <c r="CM11" s="61">
        <v>5</v>
      </c>
      <c r="CN11" s="61">
        <v>3971</v>
      </c>
      <c r="CO11" s="52">
        <v>9.2</v>
      </c>
      <c r="CP11" s="56">
        <f t="shared" si="2"/>
        <v>90.6348930248739</v>
      </c>
      <c r="CQ11" s="54">
        <v>437.83</v>
      </c>
      <c r="CR11" s="62">
        <f t="shared" si="5"/>
        <v>83.0855343711737</v>
      </c>
      <c r="CS11" s="52">
        <v>22.76</v>
      </c>
      <c r="CT11" s="52">
        <v>21.19</v>
      </c>
      <c r="CU11" s="52">
        <v>26.7</v>
      </c>
      <c r="CV11" s="23">
        <v>90</v>
      </c>
      <c r="CW11" s="52">
        <v>98.66</v>
      </c>
      <c r="CX11" s="54" t="s">
        <v>0</v>
      </c>
      <c r="CY11" s="54" t="s">
        <v>0</v>
      </c>
      <c r="CZ11" s="54" t="s">
        <v>0</v>
      </c>
      <c r="DA11" s="52">
        <v>86.2</v>
      </c>
      <c r="DB11" s="52">
        <v>82.37</v>
      </c>
      <c r="DC11" s="52">
        <v>91.39</v>
      </c>
      <c r="DD11" s="61">
        <v>23</v>
      </c>
      <c r="DE11" s="52">
        <v>55.8</v>
      </c>
      <c r="DF11" s="54" t="s">
        <v>0</v>
      </c>
      <c r="DG11" s="54" t="s">
        <v>0</v>
      </c>
      <c r="DH11" s="52">
        <v>6</v>
      </c>
      <c r="DI11" s="52">
        <v>6</v>
      </c>
      <c r="DJ11" s="54" t="s">
        <v>0</v>
      </c>
      <c r="DK11" s="58">
        <v>123930</v>
      </c>
      <c r="DL11" s="58">
        <v>19995</v>
      </c>
      <c r="DM11" s="58">
        <f t="shared" si="3"/>
        <v>-83.8658920358267</v>
      </c>
      <c r="DN11" s="58">
        <v>4</v>
      </c>
      <c r="DO11" s="58">
        <v>30</v>
      </c>
      <c r="DP11" s="58">
        <f t="shared" si="4"/>
        <v>650</v>
      </c>
      <c r="DQ11" s="58">
        <v>6</v>
      </c>
    </row>
    <row r="12" s="35" customFormat="1" ht="17.6" spans="1:123">
      <c r="A12" s="49" t="s">
        <v>155</v>
      </c>
      <c r="B12" s="60" t="s">
        <v>166</v>
      </c>
      <c r="C12" s="52">
        <v>0</v>
      </c>
      <c r="D12" s="52">
        <v>4</v>
      </c>
      <c r="E12" s="52">
        <v>13</v>
      </c>
      <c r="F12" s="52">
        <v>158</v>
      </c>
      <c r="G12" s="52">
        <v>310.26</v>
      </c>
      <c r="H12" s="40" t="s">
        <v>0</v>
      </c>
      <c r="I12" s="52">
        <v>22193</v>
      </c>
      <c r="J12" s="52">
        <v>68</v>
      </c>
      <c r="K12" s="52">
        <v>11782</v>
      </c>
      <c r="L12" s="40" t="s">
        <v>0</v>
      </c>
      <c r="M12" s="40" t="s">
        <v>0</v>
      </c>
      <c r="N12" s="52">
        <v>11.86</v>
      </c>
      <c r="O12" s="52">
        <v>28.63</v>
      </c>
      <c r="P12" s="42">
        <v>1.9</v>
      </c>
      <c r="Q12" s="42">
        <v>5.67</v>
      </c>
      <c r="R12" s="52">
        <v>329.7137</v>
      </c>
      <c r="S12" s="52">
        <v>29.4091</v>
      </c>
      <c r="T12" s="42">
        <v>15.56</v>
      </c>
      <c r="U12" s="42">
        <v>14.53</v>
      </c>
      <c r="V12" s="42">
        <v>18.85</v>
      </c>
      <c r="W12" s="52">
        <v>3392</v>
      </c>
      <c r="X12" s="52">
        <v>525</v>
      </c>
      <c r="Y12" s="52">
        <v>1433356</v>
      </c>
      <c r="Z12" s="52">
        <v>320.79</v>
      </c>
      <c r="AA12" s="42">
        <v>237985</v>
      </c>
      <c r="AB12" s="42">
        <v>61321</v>
      </c>
      <c r="AC12" s="42">
        <v>286981</v>
      </c>
      <c r="AD12" s="40" t="s">
        <v>0</v>
      </c>
      <c r="AE12" s="40" t="s">
        <v>0</v>
      </c>
      <c r="AF12" s="40" t="s">
        <v>0</v>
      </c>
      <c r="AG12" s="52">
        <v>74</v>
      </c>
      <c r="AH12" s="52">
        <v>118.1</v>
      </c>
      <c r="AI12" s="52">
        <v>185.99</v>
      </c>
      <c r="AJ12" s="42">
        <v>187.59</v>
      </c>
      <c r="AK12" s="42">
        <v>70.42</v>
      </c>
      <c r="AL12" s="52">
        <v>56</v>
      </c>
      <c r="AM12" s="42">
        <v>1813</v>
      </c>
      <c r="AN12" s="61">
        <v>4121</v>
      </c>
      <c r="AO12" s="52">
        <v>75894</v>
      </c>
      <c r="AP12" s="40" t="s">
        <v>0</v>
      </c>
      <c r="AQ12" s="40" t="s">
        <v>0</v>
      </c>
      <c r="AR12" s="52">
        <v>3196</v>
      </c>
      <c r="AS12" s="42">
        <v>4174</v>
      </c>
      <c r="AT12" s="61">
        <v>1093</v>
      </c>
      <c r="AU12" s="42">
        <v>233</v>
      </c>
      <c r="AV12" s="42">
        <v>8</v>
      </c>
      <c r="AW12" s="42">
        <v>249</v>
      </c>
      <c r="AX12" s="42">
        <v>5</v>
      </c>
      <c r="AY12" s="40" t="s">
        <v>0</v>
      </c>
      <c r="AZ12" s="52">
        <v>109693</v>
      </c>
      <c r="BA12" s="52">
        <v>445111</v>
      </c>
      <c r="BB12" s="61">
        <v>148</v>
      </c>
      <c r="BC12" s="61">
        <v>71</v>
      </c>
      <c r="BD12" s="52">
        <v>230.6</v>
      </c>
      <c r="BE12" s="52">
        <v>2.6</v>
      </c>
      <c r="BF12" s="52">
        <v>10</v>
      </c>
      <c r="BG12" s="52">
        <v>12.5</v>
      </c>
      <c r="BH12" s="52">
        <v>34.6</v>
      </c>
      <c r="BI12" s="52">
        <v>17.5</v>
      </c>
      <c r="BJ12" s="52">
        <v>428.1072530208</v>
      </c>
      <c r="BK12" s="52">
        <v>4.9</v>
      </c>
      <c r="BL12" s="52">
        <v>99.7</v>
      </c>
      <c r="BM12" s="52">
        <v>1.0650085878086</v>
      </c>
      <c r="BN12" s="52">
        <v>6.43</v>
      </c>
      <c r="BO12" s="54">
        <v>50.1</v>
      </c>
      <c r="BP12" s="52">
        <v>10.2</v>
      </c>
      <c r="BQ12" s="52">
        <v>13.3</v>
      </c>
      <c r="BR12" s="52">
        <v>101.70616</v>
      </c>
      <c r="BS12" s="23">
        <v>98.6</v>
      </c>
      <c r="BT12" s="61">
        <v>0.081</v>
      </c>
      <c r="BU12" s="61">
        <v>1.05</v>
      </c>
      <c r="BV12" s="61">
        <v>98.3</v>
      </c>
      <c r="BW12" s="54" t="s">
        <v>0</v>
      </c>
      <c r="BX12" s="54" t="s">
        <v>0</v>
      </c>
      <c r="BY12" s="54" t="s">
        <v>0</v>
      </c>
      <c r="BZ12" s="54" t="s">
        <v>0</v>
      </c>
      <c r="CA12" s="54" t="s">
        <v>0</v>
      </c>
      <c r="CB12" s="54" t="s">
        <v>0</v>
      </c>
      <c r="CC12" s="54" t="s">
        <v>0</v>
      </c>
      <c r="CD12" s="54">
        <v>105.91</v>
      </c>
      <c r="CE12" s="52">
        <v>12.01</v>
      </c>
      <c r="CF12" s="61">
        <v>94.73</v>
      </c>
      <c r="CG12" s="52">
        <v>1180</v>
      </c>
      <c r="CH12" s="55">
        <f t="shared" si="0"/>
        <v>3.87178063469013</v>
      </c>
      <c r="CI12" s="55">
        <f t="shared" si="1"/>
        <v>8.80066629650194</v>
      </c>
      <c r="CJ12" s="61">
        <v>22279</v>
      </c>
      <c r="CK12" s="61">
        <v>21786</v>
      </c>
      <c r="CL12" s="61">
        <v>2124</v>
      </c>
      <c r="CM12" s="54">
        <v>8</v>
      </c>
      <c r="CN12" s="61">
        <v>5539</v>
      </c>
      <c r="CO12" s="54" t="s">
        <v>0</v>
      </c>
      <c r="CP12" s="52">
        <v>96.4</v>
      </c>
      <c r="CQ12" s="54" t="s">
        <v>0</v>
      </c>
      <c r="CR12" s="62">
        <f t="shared" si="5"/>
        <v>76.5692381408721</v>
      </c>
      <c r="CS12" s="52">
        <v>15.07</v>
      </c>
      <c r="CT12" s="52">
        <v>15.69</v>
      </c>
      <c r="CU12" s="62">
        <f>AK12/AJ12*100</f>
        <v>37.5393144623914</v>
      </c>
      <c r="CV12" s="54" t="s">
        <v>0</v>
      </c>
      <c r="CW12" s="61">
        <v>97.25</v>
      </c>
      <c r="CX12" s="61">
        <v>36</v>
      </c>
      <c r="CY12" s="61">
        <v>24145</v>
      </c>
      <c r="CZ12" s="54" t="s">
        <v>0</v>
      </c>
      <c r="DA12" s="52">
        <v>44.1</v>
      </c>
      <c r="DB12" s="52">
        <v>88</v>
      </c>
      <c r="DC12" s="52">
        <v>91.6</v>
      </c>
      <c r="DD12" s="61">
        <v>86.3</v>
      </c>
      <c r="DE12" s="54" t="s">
        <v>0</v>
      </c>
      <c r="DF12" s="54" t="s">
        <v>0</v>
      </c>
      <c r="DG12" s="61">
        <v>83</v>
      </c>
      <c r="DH12" s="61">
        <v>107</v>
      </c>
      <c r="DI12" s="61">
        <v>100</v>
      </c>
      <c r="DJ12" s="57" t="s">
        <v>0</v>
      </c>
      <c r="DK12" s="58">
        <v>8071</v>
      </c>
      <c r="DL12" s="58">
        <v>93215</v>
      </c>
      <c r="DM12" s="58">
        <f t="shared" si="3"/>
        <v>1054.93743030603</v>
      </c>
      <c r="DN12" s="58">
        <v>35</v>
      </c>
      <c r="DO12" s="58">
        <v>5</v>
      </c>
      <c r="DP12" s="58">
        <f t="shared" si="4"/>
        <v>-85.7142857142857</v>
      </c>
      <c r="DQ12" s="58">
        <v>13</v>
      </c>
    </row>
    <row r="13" s="35" customFormat="1" ht="17.6" spans="1:123">
      <c r="A13" s="49" t="s">
        <v>155</v>
      </c>
      <c r="B13" s="60" t="s">
        <v>167</v>
      </c>
      <c r="C13" s="52">
        <v>0</v>
      </c>
      <c r="D13" s="52">
        <v>3</v>
      </c>
      <c r="E13" s="52">
        <v>8</v>
      </c>
      <c r="F13" s="42">
        <v>116.16</v>
      </c>
      <c r="G13" s="42">
        <v>264.58</v>
      </c>
      <c r="H13" s="40" t="s">
        <v>0</v>
      </c>
      <c r="I13" s="52">
        <v>18890</v>
      </c>
      <c r="J13" s="52">
        <v>26</v>
      </c>
      <c r="K13" s="52">
        <v>11823</v>
      </c>
      <c r="L13" s="40" t="s">
        <v>0</v>
      </c>
      <c r="M13" s="61" t="s">
        <v>0</v>
      </c>
      <c r="N13" s="52">
        <v>12.33</v>
      </c>
      <c r="O13" s="52">
        <v>13.92</v>
      </c>
      <c r="P13" s="42">
        <v>0.65</v>
      </c>
      <c r="Q13" s="42">
        <v>4.88</v>
      </c>
      <c r="R13" s="52">
        <v>265.5455</v>
      </c>
      <c r="S13" s="52">
        <v>26.1282</v>
      </c>
      <c r="T13" s="42">
        <v>13.14</v>
      </c>
      <c r="U13" s="42">
        <v>4.37</v>
      </c>
      <c r="V13" s="42">
        <v>16.75</v>
      </c>
      <c r="W13" s="52">
        <v>4406</v>
      </c>
      <c r="X13" s="52">
        <v>300</v>
      </c>
      <c r="Y13" s="52">
        <v>1204960</v>
      </c>
      <c r="Z13" s="52">
        <v>222.52</v>
      </c>
      <c r="AA13" s="42">
        <v>166851.5</v>
      </c>
      <c r="AB13" s="42">
        <v>43519</v>
      </c>
      <c r="AC13" s="42">
        <v>202127.3</v>
      </c>
      <c r="AD13" s="42">
        <v>47707</v>
      </c>
      <c r="AE13" s="40" t="s">
        <v>0</v>
      </c>
      <c r="AF13" s="61">
        <v>793</v>
      </c>
      <c r="AG13" s="52">
        <v>56.74</v>
      </c>
      <c r="AH13" s="52">
        <v>92.89</v>
      </c>
      <c r="AI13" s="52">
        <v>160.68</v>
      </c>
      <c r="AJ13" s="42">
        <v>135.45</v>
      </c>
      <c r="AK13" s="42">
        <v>55.13</v>
      </c>
      <c r="AL13" s="52">
        <v>46</v>
      </c>
      <c r="AM13" s="40" t="s">
        <v>0</v>
      </c>
      <c r="AN13" s="61">
        <v>5278</v>
      </c>
      <c r="AO13" s="52">
        <v>71938</v>
      </c>
      <c r="AP13" s="40" t="s">
        <v>0</v>
      </c>
      <c r="AQ13" s="40" t="s">
        <v>0</v>
      </c>
      <c r="AR13" s="52">
        <v>1783</v>
      </c>
      <c r="AS13" s="42">
        <v>2485</v>
      </c>
      <c r="AT13" s="40" t="s">
        <v>0</v>
      </c>
      <c r="AU13" s="40" t="s">
        <v>0</v>
      </c>
      <c r="AV13" s="40" t="s">
        <v>0</v>
      </c>
      <c r="AW13" s="40" t="s">
        <v>0</v>
      </c>
      <c r="AX13" s="40" t="s">
        <v>0</v>
      </c>
      <c r="AY13" s="40">
        <v>40</v>
      </c>
      <c r="AZ13" s="52">
        <v>71850</v>
      </c>
      <c r="BA13" s="52">
        <v>233703</v>
      </c>
      <c r="BB13" s="61">
        <v>167</v>
      </c>
      <c r="BC13" s="61">
        <v>73</v>
      </c>
      <c r="BD13" s="52">
        <v>196.5</v>
      </c>
      <c r="BE13" s="52">
        <v>2.3</v>
      </c>
      <c r="BF13" s="52">
        <v>17</v>
      </c>
      <c r="BG13" s="52">
        <v>12.6</v>
      </c>
      <c r="BH13" s="52">
        <v>150</v>
      </c>
      <c r="BI13" s="52">
        <v>310</v>
      </c>
      <c r="BJ13" s="52">
        <v>531.0268860768</v>
      </c>
      <c r="BK13" s="52">
        <v>7.8</v>
      </c>
      <c r="BL13" s="52">
        <v>99.8</v>
      </c>
      <c r="BM13" s="52">
        <v>1.0507</v>
      </c>
      <c r="BN13" s="52">
        <v>6.82</v>
      </c>
      <c r="BO13" s="54">
        <v>44.5</v>
      </c>
      <c r="BP13" s="52">
        <v>9.6</v>
      </c>
      <c r="BQ13" s="52">
        <v>12.3</v>
      </c>
      <c r="BR13" s="52">
        <v>101.31368</v>
      </c>
      <c r="BS13" s="54">
        <v>90.2</v>
      </c>
      <c r="BT13" s="64">
        <v>0.0685263118692041</v>
      </c>
      <c r="BU13" s="64">
        <v>0.00113544201135442</v>
      </c>
      <c r="BV13" s="61">
        <v>89.8</v>
      </c>
      <c r="BW13" s="54" t="s">
        <v>0</v>
      </c>
      <c r="BX13" s="54" t="s">
        <v>0</v>
      </c>
      <c r="BY13" s="54" t="s">
        <v>0</v>
      </c>
      <c r="BZ13" s="54" t="s">
        <v>0</v>
      </c>
      <c r="CA13" s="54">
        <v>77</v>
      </c>
      <c r="CB13" s="54">
        <v>432</v>
      </c>
      <c r="CC13" s="54" t="s">
        <v>0</v>
      </c>
      <c r="CD13" s="61">
        <v>106.5</v>
      </c>
      <c r="CE13" s="52">
        <v>13.25</v>
      </c>
      <c r="CF13" s="61">
        <v>92.8</v>
      </c>
      <c r="CG13" s="52">
        <v>1052</v>
      </c>
      <c r="CH13" s="55" t="e">
        <f t="shared" si="0"/>
        <v>#VALUE!</v>
      </c>
      <c r="CI13" s="55">
        <f t="shared" si="1"/>
        <v>13.8624783316699</v>
      </c>
      <c r="CJ13" s="61">
        <v>36689</v>
      </c>
      <c r="CK13" s="61">
        <v>35558</v>
      </c>
      <c r="CL13" s="61">
        <v>4137</v>
      </c>
      <c r="CM13" s="54">
        <v>0</v>
      </c>
      <c r="CN13" s="61">
        <v>22727</v>
      </c>
      <c r="CO13" s="52">
        <v>4.4</v>
      </c>
      <c r="CP13" s="54" t="s">
        <v>0</v>
      </c>
      <c r="CQ13" s="52" t="s">
        <v>0</v>
      </c>
      <c r="CR13" s="62">
        <f t="shared" si="5"/>
        <v>71.7505030181086</v>
      </c>
      <c r="CS13" s="52">
        <v>12.37</v>
      </c>
      <c r="CT13" s="52">
        <v>11.12</v>
      </c>
      <c r="CU13" s="54">
        <v>42</v>
      </c>
      <c r="CV13" s="61">
        <v>89.6</v>
      </c>
      <c r="CW13" s="54" t="s">
        <v>0</v>
      </c>
      <c r="CX13" s="61">
        <v>56.7</v>
      </c>
      <c r="CY13" s="52">
        <v>55500</v>
      </c>
      <c r="CZ13" s="54" t="s">
        <v>0</v>
      </c>
      <c r="DA13" s="52">
        <v>6</v>
      </c>
      <c r="DB13" s="52">
        <v>88.41</v>
      </c>
      <c r="DC13" s="52">
        <v>92.34</v>
      </c>
      <c r="DD13" s="54" t="s">
        <v>0</v>
      </c>
      <c r="DE13" s="54" t="s">
        <v>0</v>
      </c>
      <c r="DF13" s="54">
        <v>878</v>
      </c>
      <c r="DG13" s="61">
        <v>100</v>
      </c>
      <c r="DH13" s="61">
        <v>271</v>
      </c>
      <c r="DI13" s="61">
        <v>486</v>
      </c>
      <c r="DJ13" s="57">
        <v>36</v>
      </c>
      <c r="DK13" s="58">
        <v>43215</v>
      </c>
      <c r="DL13" s="58">
        <v>79865</v>
      </c>
      <c r="DM13" s="58">
        <f t="shared" si="3"/>
        <v>84.8085155617263</v>
      </c>
      <c r="DN13" s="58">
        <v>136</v>
      </c>
      <c r="DO13" s="58">
        <v>179</v>
      </c>
      <c r="DP13" s="58">
        <f t="shared" si="4"/>
        <v>31.6176470588235</v>
      </c>
      <c r="DQ13" s="58">
        <v>18</v>
      </c>
    </row>
    <row r="14" s="35" customFormat="1" ht="17.6" spans="1:123">
      <c r="A14" s="49" t="s">
        <v>155</v>
      </c>
      <c r="B14" s="60" t="s">
        <v>168</v>
      </c>
      <c r="C14" s="52">
        <v>4</v>
      </c>
      <c r="D14" s="52">
        <v>2</v>
      </c>
      <c r="E14" s="52">
        <v>10</v>
      </c>
      <c r="F14" s="61">
        <v>340.79</v>
      </c>
      <c r="G14" s="61">
        <v>396.71</v>
      </c>
      <c r="H14" s="40" t="s">
        <v>0</v>
      </c>
      <c r="I14" s="52">
        <v>32726</v>
      </c>
      <c r="J14" s="52">
        <v>156</v>
      </c>
      <c r="K14" s="52">
        <v>25138</v>
      </c>
      <c r="L14" s="40" t="s">
        <v>0</v>
      </c>
      <c r="M14" s="40" t="s">
        <v>0</v>
      </c>
      <c r="N14" s="52">
        <v>2.51</v>
      </c>
      <c r="O14" s="52">
        <v>8.58</v>
      </c>
      <c r="P14" s="40" t="s">
        <v>0</v>
      </c>
      <c r="Q14" s="40" t="s">
        <v>0</v>
      </c>
      <c r="R14" s="52">
        <v>381.2703</v>
      </c>
      <c r="S14" s="52">
        <v>37.3451</v>
      </c>
      <c r="T14" s="52">
        <v>21.6308</v>
      </c>
      <c r="U14" s="52">
        <v>5.2039</v>
      </c>
      <c r="V14" s="52">
        <v>10.971</v>
      </c>
      <c r="W14" s="52">
        <v>2211</v>
      </c>
      <c r="X14" s="52">
        <v>1545</v>
      </c>
      <c r="Y14" s="52">
        <v>2218514</v>
      </c>
      <c r="Z14" s="52">
        <v>53.07</v>
      </c>
      <c r="AA14" s="40" t="s">
        <v>0</v>
      </c>
      <c r="AB14" s="40" t="s">
        <v>0</v>
      </c>
      <c r="AC14" s="40" t="s">
        <v>0</v>
      </c>
      <c r="AD14" s="40" t="s">
        <v>0</v>
      </c>
      <c r="AE14" s="40" t="s">
        <v>0</v>
      </c>
      <c r="AF14" s="61">
        <v>1031</v>
      </c>
      <c r="AG14" s="52">
        <v>85.47</v>
      </c>
      <c r="AH14" s="52">
        <v>106.25</v>
      </c>
      <c r="AI14" s="52">
        <v>354.43</v>
      </c>
      <c r="AJ14" s="52">
        <v>242.4</v>
      </c>
      <c r="AK14" s="52">
        <v>89.5</v>
      </c>
      <c r="AL14" s="52">
        <v>92</v>
      </c>
      <c r="AM14" s="40" t="s">
        <v>0</v>
      </c>
      <c r="AN14" s="61">
        <v>9308</v>
      </c>
      <c r="AO14" s="52">
        <v>39803</v>
      </c>
      <c r="AP14" s="40" t="s">
        <v>0</v>
      </c>
      <c r="AQ14" s="40" t="s">
        <v>0</v>
      </c>
      <c r="AR14" s="52">
        <v>5625</v>
      </c>
      <c r="AS14" s="61">
        <v>5726</v>
      </c>
      <c r="AT14" s="61">
        <v>7955</v>
      </c>
      <c r="AU14" s="40" t="s">
        <v>0</v>
      </c>
      <c r="AV14" s="40" t="s">
        <v>0</v>
      </c>
      <c r="AW14" s="52">
        <v>17</v>
      </c>
      <c r="AX14" s="40" t="s">
        <v>0</v>
      </c>
      <c r="AY14" s="40" t="s">
        <v>0</v>
      </c>
      <c r="AZ14" s="52">
        <v>46097</v>
      </c>
      <c r="BA14" s="52">
        <v>104565</v>
      </c>
      <c r="BB14" s="61">
        <v>184</v>
      </c>
      <c r="BC14" s="61">
        <v>112</v>
      </c>
      <c r="BD14" s="52">
        <v>411.4</v>
      </c>
      <c r="BE14" s="52">
        <v>-1.2</v>
      </c>
      <c r="BF14" s="52">
        <v>19.1</v>
      </c>
      <c r="BG14" s="52">
        <v>12.5</v>
      </c>
      <c r="BH14" s="52">
        <v>20.8</v>
      </c>
      <c r="BI14" s="52">
        <v>-16.1</v>
      </c>
      <c r="BJ14" s="52">
        <v>1302.8400545248</v>
      </c>
      <c r="BK14" s="52">
        <v>9.2</v>
      </c>
      <c r="BL14" s="52" t="s">
        <v>0</v>
      </c>
      <c r="BM14" s="52">
        <v>0.829344835654844</v>
      </c>
      <c r="BN14" s="52">
        <v>8.35</v>
      </c>
      <c r="BO14" s="61">
        <v>46.5</v>
      </c>
      <c r="BP14" s="52">
        <v>9.5</v>
      </c>
      <c r="BQ14" s="52">
        <v>11.5</v>
      </c>
      <c r="BR14" s="52">
        <v>102.38822</v>
      </c>
      <c r="BS14" s="54" t="s">
        <v>0</v>
      </c>
      <c r="BT14" s="65">
        <v>0.0264889485872486</v>
      </c>
      <c r="BU14" s="54" t="s">
        <v>0</v>
      </c>
      <c r="BV14" s="54" t="s">
        <v>0</v>
      </c>
      <c r="BW14" s="54" t="s">
        <v>0</v>
      </c>
      <c r="BX14" s="54" t="s">
        <v>0</v>
      </c>
      <c r="BY14" s="61">
        <v>8</v>
      </c>
      <c r="BZ14" s="61">
        <v>155</v>
      </c>
      <c r="CA14" s="54" t="s">
        <v>0</v>
      </c>
      <c r="CB14" s="54" t="s">
        <v>0</v>
      </c>
      <c r="CC14" s="54" t="s">
        <v>0</v>
      </c>
      <c r="CD14" s="61">
        <v>110.28</v>
      </c>
      <c r="CE14" s="52">
        <v>13.7</v>
      </c>
      <c r="CF14" s="61">
        <v>85.47</v>
      </c>
      <c r="CG14" s="52">
        <v>1050</v>
      </c>
      <c r="CH14" s="55" t="e">
        <f t="shared" si="0"/>
        <v>#VALUE!</v>
      </c>
      <c r="CI14" s="55">
        <f t="shared" si="1"/>
        <v>12.6210169491525</v>
      </c>
      <c r="CJ14" s="61">
        <v>10959</v>
      </c>
      <c r="CK14" s="61">
        <v>10724</v>
      </c>
      <c r="CL14" s="61">
        <v>3462</v>
      </c>
      <c r="CM14" s="54" t="s">
        <v>0</v>
      </c>
      <c r="CN14" s="54" t="s">
        <v>0</v>
      </c>
      <c r="CO14" s="61">
        <v>6.18</v>
      </c>
      <c r="CP14" s="61">
        <v>96.65</v>
      </c>
      <c r="CQ14" s="61" t="s">
        <v>169</v>
      </c>
      <c r="CR14" s="62">
        <f t="shared" si="5"/>
        <v>98.2361159622773</v>
      </c>
      <c r="CS14" s="52">
        <v>17.78</v>
      </c>
      <c r="CT14" s="52">
        <v>27.96</v>
      </c>
      <c r="CU14" s="52">
        <v>37.41</v>
      </c>
      <c r="CV14" s="52">
        <v>82.5</v>
      </c>
      <c r="CW14" s="61">
        <v>96</v>
      </c>
      <c r="CX14" s="52">
        <v>25.5</v>
      </c>
      <c r="CY14" s="54" t="s">
        <v>0</v>
      </c>
      <c r="CZ14" s="54" t="s">
        <v>0</v>
      </c>
      <c r="DA14" s="52">
        <v>99.88</v>
      </c>
      <c r="DB14" s="52">
        <v>93.55</v>
      </c>
      <c r="DC14" s="52">
        <v>99.04</v>
      </c>
      <c r="DD14" s="61">
        <v>39.45</v>
      </c>
      <c r="DE14" s="54" t="s">
        <v>0</v>
      </c>
      <c r="DF14" s="54" t="s">
        <v>0</v>
      </c>
      <c r="DG14" s="54" t="s">
        <v>0</v>
      </c>
      <c r="DH14" s="52">
        <v>84</v>
      </c>
      <c r="DI14" s="52">
        <v>78</v>
      </c>
      <c r="DJ14" s="54" t="s">
        <v>0</v>
      </c>
      <c r="DK14" s="58">
        <v>69000</v>
      </c>
      <c r="DL14" s="58">
        <v>88916</v>
      </c>
      <c r="DM14" s="58">
        <f t="shared" si="3"/>
        <v>28.863768115942</v>
      </c>
      <c r="DN14" s="58">
        <v>47</v>
      </c>
      <c r="DO14" s="58">
        <v>62</v>
      </c>
      <c r="DP14" s="58">
        <f t="shared" si="4"/>
        <v>31.9148936170213</v>
      </c>
      <c r="DQ14" s="58">
        <v>4</v>
      </c>
    </row>
    <row r="15" s="35" customFormat="1" ht="17.6" spans="1:123">
      <c r="A15" s="49" t="s">
        <v>155</v>
      </c>
      <c r="B15" s="60" t="s">
        <v>170</v>
      </c>
      <c r="C15" s="52">
        <v>2</v>
      </c>
      <c r="D15" s="52">
        <v>2</v>
      </c>
      <c r="E15" s="52">
        <v>6</v>
      </c>
      <c r="F15" s="42">
        <v>149.67</v>
      </c>
      <c r="G15" s="42">
        <v>300.74</v>
      </c>
      <c r="H15" s="61">
        <v>131690</v>
      </c>
      <c r="I15" s="52">
        <v>24021</v>
      </c>
      <c r="J15" s="52">
        <v>288</v>
      </c>
      <c r="K15" s="52">
        <v>14500</v>
      </c>
      <c r="L15" s="40" t="s">
        <v>0</v>
      </c>
      <c r="M15" s="61">
        <v>139.3</v>
      </c>
      <c r="N15" s="52">
        <v>0.43</v>
      </c>
      <c r="O15" s="52">
        <v>33.31</v>
      </c>
      <c r="P15" s="40" t="s">
        <v>0</v>
      </c>
      <c r="Q15" s="40" t="s">
        <v>0</v>
      </c>
      <c r="R15" s="52">
        <v>302.5103</v>
      </c>
      <c r="S15" s="52">
        <v>29.4874</v>
      </c>
      <c r="T15" s="42">
        <v>17.6</v>
      </c>
      <c r="U15" s="42">
        <v>5.65</v>
      </c>
      <c r="V15" s="42">
        <v>14.67</v>
      </c>
      <c r="W15" s="52">
        <v>4411</v>
      </c>
      <c r="X15" s="52">
        <v>2156</v>
      </c>
      <c r="Y15" s="42">
        <v>2479198</v>
      </c>
      <c r="Z15" s="52">
        <v>260.31</v>
      </c>
      <c r="AA15" s="42">
        <v>242720</v>
      </c>
      <c r="AB15" s="42">
        <v>56817</v>
      </c>
      <c r="AC15" s="42">
        <v>272373</v>
      </c>
      <c r="AD15" s="42">
        <v>60846</v>
      </c>
      <c r="AE15" s="40" t="s">
        <v>0</v>
      </c>
      <c r="AF15" s="40" t="s">
        <v>0</v>
      </c>
      <c r="AG15" s="52">
        <v>41.2</v>
      </c>
      <c r="AH15" s="52">
        <v>96.3</v>
      </c>
      <c r="AI15" s="52">
        <v>178.3</v>
      </c>
      <c r="AJ15" s="40">
        <v>129.15</v>
      </c>
      <c r="AK15" s="23">
        <v>50.3</v>
      </c>
      <c r="AL15" s="52">
        <v>91</v>
      </c>
      <c r="AM15" s="40" t="s">
        <v>0</v>
      </c>
      <c r="AN15" s="61">
        <v>10503</v>
      </c>
      <c r="AO15" s="52">
        <v>46320</v>
      </c>
      <c r="AP15" s="40" t="s">
        <v>0</v>
      </c>
      <c r="AQ15" s="40" t="s">
        <v>0</v>
      </c>
      <c r="AR15" s="52">
        <v>3210</v>
      </c>
      <c r="AS15" s="42">
        <v>3210</v>
      </c>
      <c r="AT15" s="40" t="s">
        <v>0</v>
      </c>
      <c r="AU15" s="52">
        <v>8</v>
      </c>
      <c r="AV15" s="52">
        <v>4</v>
      </c>
      <c r="AW15" s="52">
        <v>2</v>
      </c>
      <c r="AX15" s="52">
        <v>7</v>
      </c>
      <c r="AY15" s="40" t="s">
        <v>0</v>
      </c>
      <c r="AZ15" s="52">
        <v>12060</v>
      </c>
      <c r="BA15" s="52">
        <v>66717</v>
      </c>
      <c r="BB15" s="61">
        <v>102</v>
      </c>
      <c r="BC15" s="61">
        <v>47</v>
      </c>
      <c r="BD15" s="52">
        <v>406.7</v>
      </c>
      <c r="BE15" s="52">
        <v>16.5</v>
      </c>
      <c r="BF15" s="52">
        <v>19.3</v>
      </c>
      <c r="BG15" s="52">
        <v>12.3</v>
      </c>
      <c r="BH15" s="52">
        <v>-10.2</v>
      </c>
      <c r="BI15" s="52">
        <v>4.7</v>
      </c>
      <c r="BJ15" s="52">
        <v>705.4569933088</v>
      </c>
      <c r="BK15" s="52">
        <v>8.1</v>
      </c>
      <c r="BL15" s="52">
        <v>105.9</v>
      </c>
      <c r="BM15" s="52">
        <v>0.8045</v>
      </c>
      <c r="BN15" s="52">
        <v>9.43</v>
      </c>
      <c r="BO15" s="62">
        <v>33.0996505816268</v>
      </c>
      <c r="BP15" s="52">
        <v>8.6</v>
      </c>
      <c r="BQ15" s="52">
        <v>10.3</v>
      </c>
      <c r="BR15" s="52">
        <v>101.54885</v>
      </c>
      <c r="BS15" s="52">
        <v>96.1</v>
      </c>
      <c r="BT15" s="63">
        <v>0.026654863770438</v>
      </c>
      <c r="BU15" s="63">
        <v>0.0162790697674419</v>
      </c>
      <c r="BV15" s="54">
        <v>95.7</v>
      </c>
      <c r="BW15" s="54" t="s">
        <v>0</v>
      </c>
      <c r="BX15" s="54">
        <v>94</v>
      </c>
      <c r="BY15" s="54" t="s">
        <v>0</v>
      </c>
      <c r="BZ15" s="54" t="s">
        <v>0</v>
      </c>
      <c r="CA15" s="54">
        <v>14</v>
      </c>
      <c r="CB15" s="54" t="s">
        <v>0</v>
      </c>
      <c r="CC15" s="54">
        <v>98.8</v>
      </c>
      <c r="CD15" s="61">
        <v>106.41</v>
      </c>
      <c r="CE15" s="52">
        <v>12</v>
      </c>
      <c r="CF15" s="54">
        <v>85.78</v>
      </c>
      <c r="CG15" s="52">
        <v>1101</v>
      </c>
      <c r="CH15" s="55" t="e">
        <f t="shared" si="0"/>
        <v>#VALUE!</v>
      </c>
      <c r="CI15" s="55">
        <f t="shared" si="1"/>
        <v>23.3187540241114</v>
      </c>
      <c r="CJ15" s="61">
        <v>1043</v>
      </c>
      <c r="CK15" s="61">
        <v>1043</v>
      </c>
      <c r="CL15" s="61">
        <v>2267</v>
      </c>
      <c r="CM15" s="54" t="s">
        <v>0</v>
      </c>
      <c r="CN15" s="54" t="s">
        <v>0</v>
      </c>
      <c r="CO15" s="61">
        <v>5.66</v>
      </c>
      <c r="CP15" s="61">
        <v>98.9</v>
      </c>
      <c r="CQ15" s="54" t="s">
        <v>171</v>
      </c>
      <c r="CR15" s="62">
        <f t="shared" si="5"/>
        <v>100</v>
      </c>
      <c r="CS15" s="52">
        <v>10.98</v>
      </c>
      <c r="CT15" s="52">
        <v>7.77</v>
      </c>
      <c r="CU15" s="62">
        <f t="shared" ref="CU15:CU20" si="7">AK15/AJ15*100</f>
        <v>38.9469608981804</v>
      </c>
      <c r="CV15" s="54">
        <v>91.7</v>
      </c>
      <c r="CW15" s="52">
        <v>97.7</v>
      </c>
      <c r="CX15" s="54" t="s">
        <v>0</v>
      </c>
      <c r="CY15" s="54" t="s">
        <v>0</v>
      </c>
      <c r="CZ15" s="54" t="s">
        <v>0</v>
      </c>
      <c r="DA15" s="52">
        <v>100</v>
      </c>
      <c r="DB15" s="52">
        <v>29.41</v>
      </c>
      <c r="DC15" s="52">
        <v>93.5</v>
      </c>
      <c r="DD15" s="52">
        <v>41.9</v>
      </c>
      <c r="DE15" s="54" t="s">
        <v>0</v>
      </c>
      <c r="DF15" s="54">
        <v>996</v>
      </c>
      <c r="DG15" s="54" t="s">
        <v>0</v>
      </c>
      <c r="DH15" s="52">
        <v>14</v>
      </c>
      <c r="DI15" s="61">
        <v>385</v>
      </c>
      <c r="DJ15" s="54">
        <v>41</v>
      </c>
      <c r="DK15" s="58">
        <v>30589</v>
      </c>
      <c r="DL15" s="58">
        <v>39251</v>
      </c>
      <c r="DM15" s="58">
        <f t="shared" si="3"/>
        <v>28.3173689888522</v>
      </c>
      <c r="DN15" s="58">
        <v>134</v>
      </c>
      <c r="DO15" s="58">
        <v>141</v>
      </c>
      <c r="DP15" s="58">
        <f t="shared" si="4"/>
        <v>5.22388059701492</v>
      </c>
      <c r="DQ15" s="58">
        <v>14</v>
      </c>
    </row>
    <row r="16" s="35" customFormat="1" ht="17.6" spans="1:123">
      <c r="A16" s="49" t="s">
        <v>155</v>
      </c>
      <c r="B16" s="66" t="s">
        <v>172</v>
      </c>
      <c r="C16" s="52">
        <v>2</v>
      </c>
      <c r="D16" s="52">
        <v>1</v>
      </c>
      <c r="E16" s="52">
        <v>8</v>
      </c>
      <c r="F16" s="52">
        <v>109.2</v>
      </c>
      <c r="G16" s="52">
        <v>343.4</v>
      </c>
      <c r="H16" s="40" t="s">
        <v>0</v>
      </c>
      <c r="I16" s="52">
        <v>23771</v>
      </c>
      <c r="J16" s="52">
        <v>69</v>
      </c>
      <c r="K16" s="52">
        <v>14951</v>
      </c>
      <c r="L16" s="40" t="s">
        <v>0</v>
      </c>
      <c r="M16" s="40" t="s">
        <v>0</v>
      </c>
      <c r="N16" s="52">
        <v>0</v>
      </c>
      <c r="O16" s="52">
        <v>5.69</v>
      </c>
      <c r="P16" s="40" t="s">
        <v>0</v>
      </c>
      <c r="Q16" s="40" t="s">
        <v>0</v>
      </c>
      <c r="R16" s="52">
        <v>242.5747</v>
      </c>
      <c r="S16" s="52">
        <v>22.0425</v>
      </c>
      <c r="T16" s="52">
        <v>9.8627</v>
      </c>
      <c r="U16" s="52">
        <v>2.4274</v>
      </c>
      <c r="V16" s="52">
        <v>11.0299</v>
      </c>
      <c r="W16" s="52">
        <v>1797</v>
      </c>
      <c r="X16" s="52">
        <v>1061</v>
      </c>
      <c r="Y16" s="40">
        <v>1169481.8</v>
      </c>
      <c r="Z16" s="52">
        <v>29.53</v>
      </c>
      <c r="AA16" s="40">
        <v>138235.5</v>
      </c>
      <c r="AB16" s="40">
        <v>38054</v>
      </c>
      <c r="AC16" s="40">
        <v>154850.1</v>
      </c>
      <c r="AD16" s="40">
        <v>43261</v>
      </c>
      <c r="AE16" s="61">
        <v>23</v>
      </c>
      <c r="AF16" s="40" t="s">
        <v>0</v>
      </c>
      <c r="AG16" s="52">
        <v>49.3</v>
      </c>
      <c r="AH16" s="52">
        <v>63.7</v>
      </c>
      <c r="AI16" s="52">
        <v>217.12</v>
      </c>
      <c r="AJ16" s="52">
        <v>112.65</v>
      </c>
      <c r="AK16" s="40" t="s">
        <v>0</v>
      </c>
      <c r="AL16" s="52">
        <v>64</v>
      </c>
      <c r="AM16" s="40">
        <v>563</v>
      </c>
      <c r="AN16" s="61">
        <v>4896</v>
      </c>
      <c r="AO16" s="52">
        <v>34636</v>
      </c>
      <c r="AP16" s="40">
        <v>8.0495</v>
      </c>
      <c r="AQ16" s="40" t="s">
        <v>0</v>
      </c>
      <c r="AR16" s="52">
        <v>4585</v>
      </c>
      <c r="AS16" s="61">
        <v>4993</v>
      </c>
      <c r="AT16" s="61">
        <v>3251</v>
      </c>
      <c r="AU16" s="52">
        <v>12</v>
      </c>
      <c r="AV16" s="52">
        <v>4</v>
      </c>
      <c r="AW16" s="52">
        <v>12</v>
      </c>
      <c r="AX16" s="52">
        <v>3</v>
      </c>
      <c r="AY16" s="40" t="s">
        <v>0</v>
      </c>
      <c r="AZ16" s="52">
        <v>26452</v>
      </c>
      <c r="BA16" s="52">
        <v>82361</v>
      </c>
      <c r="BB16" s="40" t="s">
        <v>0</v>
      </c>
      <c r="BC16" s="40" t="s">
        <v>0</v>
      </c>
      <c r="BD16" s="52">
        <v>148.61</v>
      </c>
      <c r="BE16" s="52">
        <v>15.1</v>
      </c>
      <c r="BF16" s="52">
        <v>19</v>
      </c>
      <c r="BG16" s="52">
        <v>12.6</v>
      </c>
      <c r="BH16" s="52">
        <v>-3.1</v>
      </c>
      <c r="BI16" s="52">
        <v>6.9</v>
      </c>
      <c r="BJ16" s="52">
        <v>446.9761335584</v>
      </c>
      <c r="BK16" s="52">
        <v>9</v>
      </c>
      <c r="BL16" s="52">
        <v>100.2</v>
      </c>
      <c r="BM16" s="52">
        <v>0.825612532382007</v>
      </c>
      <c r="BN16" s="52">
        <v>12.27</v>
      </c>
      <c r="BO16" s="54">
        <v>44.14</v>
      </c>
      <c r="BP16" s="52">
        <v>10.1</v>
      </c>
      <c r="BQ16" s="52">
        <v>12.8</v>
      </c>
      <c r="BR16" s="52">
        <v>101.65943</v>
      </c>
      <c r="BS16" s="52">
        <v>98.4</v>
      </c>
      <c r="BT16" s="54" t="s">
        <v>0</v>
      </c>
      <c r="BU16" s="54" t="s">
        <v>0</v>
      </c>
      <c r="BV16" s="54" t="s">
        <v>0</v>
      </c>
      <c r="BW16" s="54" t="s">
        <v>0</v>
      </c>
      <c r="BX16" s="61">
        <v>83.3</v>
      </c>
      <c r="BY16" s="54" t="s">
        <v>0</v>
      </c>
      <c r="BZ16" s="54" t="s">
        <v>0</v>
      </c>
      <c r="CA16" s="61">
        <v>74</v>
      </c>
      <c r="CB16" s="61">
        <v>53</v>
      </c>
      <c r="CC16" s="61">
        <v>98.5</v>
      </c>
      <c r="CD16" s="52">
        <v>111</v>
      </c>
      <c r="CE16" s="52">
        <v>13.16</v>
      </c>
      <c r="CF16" s="61">
        <v>86.75</v>
      </c>
      <c r="CG16" s="52">
        <v>936</v>
      </c>
      <c r="CH16" s="55">
        <f t="shared" si="0"/>
        <v>1.2439239946973</v>
      </c>
      <c r="CI16" s="55">
        <f t="shared" si="1"/>
        <v>10.8174988952718</v>
      </c>
      <c r="CJ16" s="61">
        <v>45026</v>
      </c>
      <c r="CK16" s="61">
        <v>44697</v>
      </c>
      <c r="CL16" s="61">
        <v>2873</v>
      </c>
      <c r="CM16" s="54">
        <v>4</v>
      </c>
      <c r="CN16" s="61">
        <v>22460</v>
      </c>
      <c r="CO16" s="61">
        <v>4.19</v>
      </c>
      <c r="CP16" s="61">
        <v>98</v>
      </c>
      <c r="CQ16" s="54" t="s">
        <v>0</v>
      </c>
      <c r="CR16" s="62">
        <f t="shared" si="5"/>
        <v>91.8285599839776</v>
      </c>
      <c r="CS16" s="52">
        <v>13.65</v>
      </c>
      <c r="CT16" s="52">
        <v>8.21</v>
      </c>
      <c r="CU16" s="62">
        <v>92.8499899859804</v>
      </c>
      <c r="CV16" s="54" t="s">
        <v>0</v>
      </c>
      <c r="CW16" s="54" t="s">
        <v>0</v>
      </c>
      <c r="CX16" s="54" t="s">
        <v>0</v>
      </c>
      <c r="CY16" s="54" t="s">
        <v>0</v>
      </c>
      <c r="CZ16" s="54" t="s">
        <v>0</v>
      </c>
      <c r="DA16" s="52">
        <v>99.6</v>
      </c>
      <c r="DB16" s="52">
        <v>100</v>
      </c>
      <c r="DC16" s="52">
        <v>81.2</v>
      </c>
      <c r="DD16" s="54" t="s">
        <v>0</v>
      </c>
      <c r="DE16" s="54" t="s">
        <v>0</v>
      </c>
      <c r="DF16" s="54" t="s">
        <v>0</v>
      </c>
      <c r="DG16" s="54" t="s">
        <v>0</v>
      </c>
      <c r="DH16" s="52">
        <v>0</v>
      </c>
      <c r="DI16" s="52">
        <v>0</v>
      </c>
      <c r="DJ16" s="54" t="s">
        <v>0</v>
      </c>
      <c r="DK16" s="58">
        <v>88916</v>
      </c>
      <c r="DL16" s="58">
        <v>10399</v>
      </c>
      <c r="DM16" s="58">
        <f t="shared" si="3"/>
        <v>-88.304692068919</v>
      </c>
      <c r="DN16" s="58">
        <v>10</v>
      </c>
      <c r="DO16" s="58">
        <v>1</v>
      </c>
      <c r="DP16" s="58">
        <f t="shared" si="4"/>
        <v>-90</v>
      </c>
      <c r="DQ16" s="58">
        <v>0</v>
      </c>
    </row>
    <row r="17" s="35" customFormat="1" ht="17.6" spans="1:121">
      <c r="A17" s="67" t="s">
        <v>173</v>
      </c>
      <c r="B17" s="60" t="s">
        <v>174</v>
      </c>
      <c r="C17" s="51">
        <v>1</v>
      </c>
      <c r="D17" s="51">
        <v>6</v>
      </c>
      <c r="E17" s="51">
        <v>3</v>
      </c>
      <c r="F17" s="51">
        <v>263.18</v>
      </c>
      <c r="G17" s="51">
        <v>67.71</v>
      </c>
      <c r="H17" s="40" t="s">
        <v>0</v>
      </c>
      <c r="I17" s="51">
        <v>62556</v>
      </c>
      <c r="J17" s="51">
        <v>261</v>
      </c>
      <c r="K17" s="40" t="s">
        <v>0</v>
      </c>
      <c r="L17" s="40" t="s">
        <v>0</v>
      </c>
      <c r="M17" s="40" t="s">
        <v>0</v>
      </c>
      <c r="N17" s="52">
        <v>10.14</v>
      </c>
      <c r="O17" s="52">
        <v>20.3</v>
      </c>
      <c r="P17" s="42">
        <v>10.1</v>
      </c>
      <c r="Q17" s="42">
        <v>20.08</v>
      </c>
      <c r="R17" s="52">
        <v>322.68</v>
      </c>
      <c r="S17" s="42">
        <v>20.63</v>
      </c>
      <c r="T17" s="42">
        <v>22.18</v>
      </c>
      <c r="U17" s="42">
        <v>5.87</v>
      </c>
      <c r="V17" s="42">
        <v>12.78</v>
      </c>
      <c r="W17" s="52">
        <v>12804</v>
      </c>
      <c r="X17" s="23">
        <v>1023</v>
      </c>
      <c r="Y17" s="52">
        <v>5844073</v>
      </c>
      <c r="Z17" s="52">
        <v>217.47</v>
      </c>
      <c r="AA17" s="42">
        <v>280601.8</v>
      </c>
      <c r="AB17" s="42">
        <v>51499</v>
      </c>
      <c r="AC17" s="42">
        <v>335756.4</v>
      </c>
      <c r="AD17" s="42">
        <v>62793</v>
      </c>
      <c r="AE17" s="40" t="s">
        <v>0</v>
      </c>
      <c r="AF17" s="40" t="s">
        <v>0</v>
      </c>
      <c r="AG17" s="52">
        <v>140.53</v>
      </c>
      <c r="AH17" s="52">
        <v>239.13</v>
      </c>
      <c r="AI17" s="40" t="s">
        <v>0</v>
      </c>
      <c r="AJ17" s="51">
        <v>113.9</v>
      </c>
      <c r="AK17" s="23">
        <v>106.54</v>
      </c>
      <c r="AL17" s="52">
        <v>151</v>
      </c>
      <c r="AM17" s="42">
        <v>33865</v>
      </c>
      <c r="AN17" s="42">
        <v>11172</v>
      </c>
      <c r="AO17" s="52">
        <v>83648</v>
      </c>
      <c r="AP17" s="23">
        <v>87.35</v>
      </c>
      <c r="AQ17" s="23">
        <v>3.5</v>
      </c>
      <c r="AR17" s="40" t="s">
        <v>0</v>
      </c>
      <c r="AS17" s="51">
        <v>932</v>
      </c>
      <c r="AT17" s="61">
        <v>1945</v>
      </c>
      <c r="AU17" s="23">
        <v>12</v>
      </c>
      <c r="AV17" s="23">
        <v>11</v>
      </c>
      <c r="AW17" s="23">
        <v>12</v>
      </c>
      <c r="AX17" s="23">
        <v>18</v>
      </c>
      <c r="AY17" s="61">
        <v>5209</v>
      </c>
      <c r="AZ17" s="52">
        <v>38765</v>
      </c>
      <c r="BA17" s="52">
        <v>46853</v>
      </c>
      <c r="BB17" s="61">
        <v>111</v>
      </c>
      <c r="BC17" s="61">
        <v>141</v>
      </c>
      <c r="BD17" s="68">
        <v>258.85</v>
      </c>
      <c r="BE17" s="68">
        <v>4.7</v>
      </c>
      <c r="BF17" s="68">
        <v>4.5</v>
      </c>
      <c r="BG17" s="53">
        <v>10.1</v>
      </c>
      <c r="BH17" s="53">
        <v>6</v>
      </c>
      <c r="BI17" s="53">
        <v>14</v>
      </c>
      <c r="BJ17" s="53">
        <v>647.24</v>
      </c>
      <c r="BK17" s="53">
        <v>0.4</v>
      </c>
      <c r="BL17" s="52">
        <v>94.63</v>
      </c>
      <c r="BM17" s="51">
        <v>1.05</v>
      </c>
      <c r="BN17" s="51">
        <v>2.71</v>
      </c>
      <c r="BO17" s="23">
        <v>84.25</v>
      </c>
      <c r="BP17" s="69">
        <v>7.93783772462615</v>
      </c>
      <c r="BQ17" s="69">
        <v>10.4245076586433</v>
      </c>
      <c r="BR17" s="53">
        <v>102.2</v>
      </c>
      <c r="BS17" s="23">
        <v>96.4</v>
      </c>
      <c r="BT17" s="65">
        <v>0.0193592353844786</v>
      </c>
      <c r="BU17" s="54" t="s">
        <v>0</v>
      </c>
      <c r="BV17" s="54" t="s">
        <v>0</v>
      </c>
      <c r="BW17" s="54" t="s">
        <v>0</v>
      </c>
      <c r="BX17" s="54" t="s">
        <v>0</v>
      </c>
      <c r="BY17" s="61">
        <v>59</v>
      </c>
      <c r="BZ17" s="54" t="s">
        <v>0</v>
      </c>
      <c r="CA17" s="61">
        <v>172</v>
      </c>
      <c r="CB17" s="61">
        <v>90</v>
      </c>
      <c r="CC17" s="54" t="s">
        <v>0</v>
      </c>
      <c r="CD17" s="54">
        <v>105.16</v>
      </c>
      <c r="CE17" s="54">
        <v>13.49</v>
      </c>
      <c r="CF17" s="54">
        <v>91.03</v>
      </c>
      <c r="CG17" s="52">
        <v>1590</v>
      </c>
      <c r="CH17" s="55">
        <f t="shared" si="0"/>
        <v>102.345190244492</v>
      </c>
      <c r="CI17" s="55">
        <f t="shared" si="1"/>
        <v>33.763486354982</v>
      </c>
      <c r="CJ17" s="61">
        <v>35374</v>
      </c>
      <c r="CK17" s="61">
        <v>34303</v>
      </c>
      <c r="CL17" s="61">
        <v>4207</v>
      </c>
      <c r="CM17" s="54" t="s">
        <v>0</v>
      </c>
      <c r="CN17" s="61">
        <v>56487</v>
      </c>
      <c r="CO17" s="53">
        <v>10.55</v>
      </c>
      <c r="CP17" s="56" t="s">
        <v>0</v>
      </c>
      <c r="CQ17" s="53" t="s">
        <v>175</v>
      </c>
      <c r="CR17" s="54" t="s">
        <v>0</v>
      </c>
      <c r="CS17" s="52">
        <v>13.7</v>
      </c>
      <c r="CT17" s="52">
        <v>10.68</v>
      </c>
      <c r="CU17" s="23">
        <v>94.5</v>
      </c>
      <c r="CV17" s="54" t="s">
        <v>0</v>
      </c>
      <c r="CW17" s="23">
        <v>99.6</v>
      </c>
      <c r="CX17" s="54">
        <v>22.07</v>
      </c>
      <c r="CY17" s="54" t="s">
        <v>0</v>
      </c>
      <c r="CZ17" s="54" t="s">
        <v>0</v>
      </c>
      <c r="DA17" s="52">
        <v>55.25</v>
      </c>
      <c r="DB17" s="52">
        <v>100</v>
      </c>
      <c r="DC17" s="52">
        <v>85.85</v>
      </c>
      <c r="DD17" s="68">
        <v>53.97</v>
      </c>
      <c r="DE17" s="52">
        <v>52.9</v>
      </c>
      <c r="DF17" s="54" t="s">
        <v>0</v>
      </c>
      <c r="DG17" s="54" t="s">
        <v>0</v>
      </c>
      <c r="DH17" s="61">
        <v>250</v>
      </c>
      <c r="DI17" s="61">
        <v>171</v>
      </c>
      <c r="DJ17" s="54" t="s">
        <v>0</v>
      </c>
      <c r="DK17" s="58">
        <v>10000</v>
      </c>
      <c r="DL17" s="58">
        <v>8300</v>
      </c>
      <c r="DM17" s="58">
        <f t="shared" si="3"/>
        <v>-17</v>
      </c>
      <c r="DN17" s="58">
        <v>38</v>
      </c>
      <c r="DO17" s="58">
        <v>46</v>
      </c>
      <c r="DP17" s="58">
        <f t="shared" si="4"/>
        <v>21.0526315789474</v>
      </c>
      <c r="DQ17" s="58">
        <v>0</v>
      </c>
    </row>
    <row r="18" s="35" customFormat="1" ht="17.6" spans="1:121">
      <c r="A18" s="67" t="s">
        <v>173</v>
      </c>
      <c r="B18" s="60" t="s">
        <v>176</v>
      </c>
      <c r="C18" s="51">
        <v>0</v>
      </c>
      <c r="D18" s="51">
        <v>4</v>
      </c>
      <c r="E18" s="51">
        <v>6</v>
      </c>
      <c r="F18" s="51">
        <v>203.66</v>
      </c>
      <c r="G18" s="51">
        <v>135.53</v>
      </c>
      <c r="H18" s="40" t="s">
        <v>0</v>
      </c>
      <c r="I18" s="51">
        <v>26879</v>
      </c>
      <c r="J18" s="51">
        <v>60</v>
      </c>
      <c r="K18" s="40" t="s">
        <v>0</v>
      </c>
      <c r="L18" s="40" t="s">
        <v>0</v>
      </c>
      <c r="M18" s="40" t="s">
        <v>0</v>
      </c>
      <c r="N18" s="52">
        <v>14.31</v>
      </c>
      <c r="O18" s="52">
        <v>4.39</v>
      </c>
      <c r="P18" s="40" t="s">
        <v>0</v>
      </c>
      <c r="Q18" s="40" t="s">
        <v>0</v>
      </c>
      <c r="R18" s="52">
        <v>221.79</v>
      </c>
      <c r="S18" s="40" t="s">
        <v>0</v>
      </c>
      <c r="T18" s="40" t="s">
        <v>0</v>
      </c>
      <c r="U18" s="40" t="s">
        <v>0</v>
      </c>
      <c r="V18" s="40" t="s">
        <v>0</v>
      </c>
      <c r="W18" s="52">
        <v>4845</v>
      </c>
      <c r="X18" s="53">
        <v>419</v>
      </c>
      <c r="Y18" s="52">
        <v>2176934</v>
      </c>
      <c r="Z18" s="52">
        <v>41.97</v>
      </c>
      <c r="AA18" s="40" t="s">
        <v>0</v>
      </c>
      <c r="AB18" s="40" t="s">
        <v>0</v>
      </c>
      <c r="AC18" s="40" t="s">
        <v>0</v>
      </c>
      <c r="AD18" s="40" t="s">
        <v>0</v>
      </c>
      <c r="AE18" s="40" t="s">
        <v>0</v>
      </c>
      <c r="AF18" s="40" t="s">
        <v>0</v>
      </c>
      <c r="AG18" s="52">
        <v>75.74</v>
      </c>
      <c r="AH18" s="52">
        <v>132.8</v>
      </c>
      <c r="AI18" s="53">
        <v>96</v>
      </c>
      <c r="AJ18" s="51">
        <v>128.13</v>
      </c>
      <c r="AK18" s="23">
        <v>48.6</v>
      </c>
      <c r="AL18" s="52">
        <v>50</v>
      </c>
      <c r="AM18" s="61">
        <v>9740</v>
      </c>
      <c r="AN18" s="61">
        <v>4432</v>
      </c>
      <c r="AO18" s="52">
        <v>115853</v>
      </c>
      <c r="AP18" s="40" t="s">
        <v>0</v>
      </c>
      <c r="AQ18" s="40" t="s">
        <v>0</v>
      </c>
      <c r="AR18" s="40" t="s">
        <v>0</v>
      </c>
      <c r="AS18" s="51">
        <v>1969</v>
      </c>
      <c r="AT18" s="61">
        <v>2202</v>
      </c>
      <c r="AU18" s="23">
        <v>12</v>
      </c>
      <c r="AV18" s="23">
        <v>2</v>
      </c>
      <c r="AW18" s="23">
        <v>12</v>
      </c>
      <c r="AX18" s="23">
        <v>11</v>
      </c>
      <c r="AY18" s="40" t="s">
        <v>0</v>
      </c>
      <c r="AZ18" s="52">
        <v>156778</v>
      </c>
      <c r="BA18" s="52">
        <v>162560</v>
      </c>
      <c r="BB18" s="61">
        <v>110</v>
      </c>
      <c r="BC18" s="61">
        <v>51</v>
      </c>
      <c r="BD18" s="23">
        <v>104.94</v>
      </c>
      <c r="BE18" s="23">
        <v>11</v>
      </c>
      <c r="BF18" s="53">
        <v>3.5</v>
      </c>
      <c r="BG18" s="53">
        <v>11.6</v>
      </c>
      <c r="BH18" s="23">
        <v>0.7</v>
      </c>
      <c r="BI18" s="23">
        <v>10.3</v>
      </c>
      <c r="BJ18" s="54" t="s">
        <v>0</v>
      </c>
      <c r="BK18" s="53">
        <v>10.3</v>
      </c>
      <c r="BL18" s="52">
        <v>69.43</v>
      </c>
      <c r="BM18" s="51">
        <v>1.48</v>
      </c>
      <c r="BN18" s="51">
        <v>3.52</v>
      </c>
      <c r="BO18" s="62">
        <v>60.0412735849057</v>
      </c>
      <c r="BP18" s="69">
        <v>8.10189528992306</v>
      </c>
      <c r="BQ18" s="69">
        <v>10.8057755006986</v>
      </c>
      <c r="BR18" s="53">
        <v>101.7</v>
      </c>
      <c r="BS18" s="23">
        <v>89.3</v>
      </c>
      <c r="BT18" s="54" t="s">
        <v>0</v>
      </c>
      <c r="BU18" s="54" t="s">
        <v>0</v>
      </c>
      <c r="BV18" s="54" t="s">
        <v>0</v>
      </c>
      <c r="BW18" s="54" t="s">
        <v>0</v>
      </c>
      <c r="BX18" s="54" t="s">
        <v>0</v>
      </c>
      <c r="BY18" s="54" t="s">
        <v>0</v>
      </c>
      <c r="BZ18" s="61">
        <v>890</v>
      </c>
      <c r="CA18" s="61">
        <v>46</v>
      </c>
      <c r="CB18" s="61">
        <v>45</v>
      </c>
      <c r="CC18" s="61">
        <v>97</v>
      </c>
      <c r="CD18" s="61">
        <v>107.3</v>
      </c>
      <c r="CE18" s="23">
        <v>11</v>
      </c>
      <c r="CF18" s="61">
        <v>81.08</v>
      </c>
      <c r="CG18" s="52">
        <v>1050</v>
      </c>
      <c r="CH18" s="55">
        <f t="shared" si="0"/>
        <v>28.7154692060497</v>
      </c>
      <c r="CI18" s="55">
        <f t="shared" si="1"/>
        <v>13.0664229487898</v>
      </c>
      <c r="CJ18" s="61">
        <v>11566</v>
      </c>
      <c r="CK18" s="61">
        <v>10317</v>
      </c>
      <c r="CL18" s="61">
        <v>1461</v>
      </c>
      <c r="CM18" s="54" t="s">
        <v>0</v>
      </c>
      <c r="CN18" s="61">
        <v>18651</v>
      </c>
      <c r="CO18" s="53">
        <v>5.63</v>
      </c>
      <c r="CP18" s="56">
        <f t="shared" ref="CP18:CP20" si="8">AI18/G18*100</f>
        <v>70.8330258983251</v>
      </c>
      <c r="CQ18" s="53" t="s">
        <v>177</v>
      </c>
      <c r="CR18" s="54" t="s">
        <v>0</v>
      </c>
      <c r="CS18" s="52">
        <v>11.43</v>
      </c>
      <c r="CT18" s="52">
        <v>4.72</v>
      </c>
      <c r="CU18" s="62">
        <f t="shared" si="7"/>
        <v>37.9302271130883</v>
      </c>
      <c r="CV18" s="54" t="s">
        <v>0</v>
      </c>
      <c r="CW18" s="53">
        <v>99.83</v>
      </c>
      <c r="CX18" s="54" t="s">
        <v>0</v>
      </c>
      <c r="CY18" s="54" t="s">
        <v>0</v>
      </c>
      <c r="CZ18" s="54" t="s">
        <v>0</v>
      </c>
      <c r="DA18" s="52">
        <v>91.34</v>
      </c>
      <c r="DB18" s="52">
        <v>92</v>
      </c>
      <c r="DC18" s="52">
        <v>85</v>
      </c>
      <c r="DD18" s="23">
        <v>82.19</v>
      </c>
      <c r="DE18" s="52">
        <v>53.7</v>
      </c>
      <c r="DF18" s="61">
        <v>1298</v>
      </c>
      <c r="DG18" s="61">
        <v>100</v>
      </c>
      <c r="DH18" s="61">
        <v>31</v>
      </c>
      <c r="DI18" s="61">
        <v>31</v>
      </c>
      <c r="DJ18" s="61">
        <v>31</v>
      </c>
      <c r="DK18" s="58">
        <v>64575</v>
      </c>
      <c r="DL18" s="58">
        <v>38466</v>
      </c>
      <c r="DM18" s="58">
        <f t="shared" si="3"/>
        <v>-40.4320557491289</v>
      </c>
      <c r="DN18" s="58">
        <v>23</v>
      </c>
      <c r="DO18" s="58">
        <v>17</v>
      </c>
      <c r="DP18" s="58">
        <f t="shared" si="4"/>
        <v>-26.0869565217391</v>
      </c>
      <c r="DQ18" s="58">
        <v>16</v>
      </c>
    </row>
    <row r="19" s="35" customFormat="1" ht="17.6" spans="1:121">
      <c r="A19" s="67" t="s">
        <v>173</v>
      </c>
      <c r="B19" s="60" t="s">
        <v>178</v>
      </c>
      <c r="C19" s="51">
        <v>0</v>
      </c>
      <c r="D19" s="51">
        <v>3</v>
      </c>
      <c r="E19" s="51">
        <v>2</v>
      </c>
      <c r="F19" s="51">
        <v>90.47</v>
      </c>
      <c r="G19" s="51">
        <v>48.8</v>
      </c>
      <c r="H19" s="40" t="s">
        <v>0</v>
      </c>
      <c r="I19" s="51">
        <v>14988</v>
      </c>
      <c r="J19" s="51">
        <v>31</v>
      </c>
      <c r="K19" s="40" t="s">
        <v>0</v>
      </c>
      <c r="L19" s="40" t="s">
        <v>0</v>
      </c>
      <c r="M19" s="40" t="s">
        <v>0</v>
      </c>
      <c r="N19" s="42">
        <v>13.8</v>
      </c>
      <c r="O19" s="42">
        <v>4.04</v>
      </c>
      <c r="P19" s="42">
        <v>12.11</v>
      </c>
      <c r="Q19" s="42">
        <v>2.66</v>
      </c>
      <c r="R19" s="52">
        <v>86.91</v>
      </c>
      <c r="S19" s="42">
        <v>7.17</v>
      </c>
      <c r="T19" s="42">
        <v>6.55</v>
      </c>
      <c r="U19" s="42">
        <v>1.76</v>
      </c>
      <c r="V19" s="42">
        <v>2.82</v>
      </c>
      <c r="W19" s="52">
        <v>2262</v>
      </c>
      <c r="X19" s="23">
        <v>483</v>
      </c>
      <c r="Y19" s="52">
        <v>1229696</v>
      </c>
      <c r="Z19" s="52">
        <v>28.54</v>
      </c>
      <c r="AA19" s="42">
        <v>1015611</v>
      </c>
      <c r="AB19" s="42">
        <v>21079</v>
      </c>
      <c r="AC19" s="42">
        <v>1203747</v>
      </c>
      <c r="AD19" s="42">
        <v>24247</v>
      </c>
      <c r="AE19" s="40" t="s">
        <v>0</v>
      </c>
      <c r="AF19" s="40" t="s">
        <v>0</v>
      </c>
      <c r="AG19" s="52">
        <v>31.45</v>
      </c>
      <c r="AH19" s="52">
        <v>64.09</v>
      </c>
      <c r="AI19" s="53">
        <v>37.02</v>
      </c>
      <c r="AJ19" s="51">
        <v>52.79</v>
      </c>
      <c r="AK19" s="53">
        <v>33.2</v>
      </c>
      <c r="AL19" s="52">
        <v>31</v>
      </c>
      <c r="AM19" s="61">
        <v>5642</v>
      </c>
      <c r="AN19" s="61">
        <v>2074</v>
      </c>
      <c r="AO19" s="52">
        <v>88855</v>
      </c>
      <c r="AP19" s="40" t="s">
        <v>0</v>
      </c>
      <c r="AQ19" s="40" t="s">
        <v>0</v>
      </c>
      <c r="AR19" s="40">
        <v>634</v>
      </c>
      <c r="AS19" s="51">
        <v>960</v>
      </c>
      <c r="AT19" s="61">
        <v>872</v>
      </c>
      <c r="AU19" s="53">
        <v>6</v>
      </c>
      <c r="AV19" s="40" t="s">
        <v>0</v>
      </c>
      <c r="AW19" s="53">
        <v>6</v>
      </c>
      <c r="AX19" s="53">
        <v>6</v>
      </c>
      <c r="AY19" s="61">
        <v>3271</v>
      </c>
      <c r="AZ19" s="52">
        <v>40561</v>
      </c>
      <c r="BA19" s="52">
        <v>42925</v>
      </c>
      <c r="BB19" s="61">
        <v>64</v>
      </c>
      <c r="BC19" s="61">
        <v>17</v>
      </c>
      <c r="BD19" s="42">
        <v>98.1</v>
      </c>
      <c r="BE19" s="54">
        <v>-11.9</v>
      </c>
      <c r="BF19" s="53">
        <v>6.6</v>
      </c>
      <c r="BG19" s="53">
        <v>9.9</v>
      </c>
      <c r="BH19" s="54">
        <v>-8.3</v>
      </c>
      <c r="BI19" s="54">
        <v>4.2</v>
      </c>
      <c r="BJ19" s="54">
        <v>239.1</v>
      </c>
      <c r="BK19" s="53">
        <v>4.2</v>
      </c>
      <c r="BL19" s="52">
        <v>80.79</v>
      </c>
      <c r="BM19" s="51">
        <v>1.45</v>
      </c>
      <c r="BN19" s="51">
        <v>5.63</v>
      </c>
      <c r="BO19" s="53">
        <v>64.96</v>
      </c>
      <c r="BP19" s="69">
        <v>7.39779364049319</v>
      </c>
      <c r="BQ19" s="69">
        <v>10.0614754098361</v>
      </c>
      <c r="BR19" s="54">
        <v>101.3</v>
      </c>
      <c r="BS19" s="54">
        <v>89.69</v>
      </c>
      <c r="BT19" s="65">
        <v>0.10379241258003</v>
      </c>
      <c r="BU19" s="54" t="s">
        <v>0</v>
      </c>
      <c r="BV19" s="61">
        <v>91.23</v>
      </c>
      <c r="BW19" s="54" t="s">
        <v>0</v>
      </c>
      <c r="BX19" s="61">
        <v>95.33</v>
      </c>
      <c r="BY19" s="54" t="s">
        <v>0</v>
      </c>
      <c r="BZ19" s="54" t="s">
        <v>0</v>
      </c>
      <c r="CA19" s="61">
        <v>68</v>
      </c>
      <c r="CB19" s="61">
        <v>49</v>
      </c>
      <c r="CC19" s="61">
        <v>97</v>
      </c>
      <c r="CD19" s="61">
        <v>106.38</v>
      </c>
      <c r="CE19" s="54">
        <v>12</v>
      </c>
      <c r="CF19" s="54" t="s">
        <v>0</v>
      </c>
      <c r="CG19" s="52">
        <v>260</v>
      </c>
      <c r="CH19" s="55">
        <f t="shared" si="0"/>
        <v>40.5112371652186</v>
      </c>
      <c r="CI19" s="55">
        <f t="shared" si="1"/>
        <v>14.8919365261722</v>
      </c>
      <c r="CJ19" s="61">
        <v>2041</v>
      </c>
      <c r="CK19" s="61">
        <v>1878</v>
      </c>
      <c r="CL19" s="61">
        <v>602</v>
      </c>
      <c r="CM19" s="54" t="s">
        <v>0</v>
      </c>
      <c r="CN19" s="61">
        <v>15916</v>
      </c>
      <c r="CO19" s="54">
        <v>2.52</v>
      </c>
      <c r="CP19" s="56">
        <f t="shared" si="8"/>
        <v>75.8606557377049</v>
      </c>
      <c r="CQ19" s="61" t="s">
        <v>179</v>
      </c>
      <c r="CR19" s="62">
        <f>AR19/AS19*100</f>
        <v>66.0416666666667</v>
      </c>
      <c r="CS19" s="52">
        <v>8.75</v>
      </c>
      <c r="CT19" s="52">
        <v>10.85</v>
      </c>
      <c r="CU19" s="54">
        <v>64.11</v>
      </c>
      <c r="CV19" s="54" t="s">
        <v>0</v>
      </c>
      <c r="CW19" s="61">
        <v>99.46</v>
      </c>
      <c r="CX19" s="53">
        <v>25.9</v>
      </c>
      <c r="CY19" s="61">
        <v>3380</v>
      </c>
      <c r="CZ19" s="54" t="s">
        <v>0</v>
      </c>
      <c r="DA19" s="52">
        <v>21.05</v>
      </c>
      <c r="DB19" s="52">
        <v>72</v>
      </c>
      <c r="DC19" s="52">
        <v>87</v>
      </c>
      <c r="DD19" s="53">
        <v>48.8</v>
      </c>
      <c r="DE19" s="52">
        <v>54.8</v>
      </c>
      <c r="DF19" s="61">
        <v>234</v>
      </c>
      <c r="DG19" s="54" t="s">
        <v>0</v>
      </c>
      <c r="DH19" s="52">
        <v>0</v>
      </c>
      <c r="DI19" s="52">
        <v>0</v>
      </c>
      <c r="DJ19" s="61">
        <v>24</v>
      </c>
      <c r="DK19" s="58">
        <v>29607</v>
      </c>
      <c r="DL19" s="58">
        <v>31369</v>
      </c>
      <c r="DM19" s="58">
        <f t="shared" si="3"/>
        <v>5.95129530178674</v>
      </c>
      <c r="DN19" s="58">
        <v>1</v>
      </c>
      <c r="DO19" s="58">
        <v>2</v>
      </c>
      <c r="DP19" s="58">
        <f t="shared" si="4"/>
        <v>100</v>
      </c>
      <c r="DQ19" s="58">
        <v>0</v>
      </c>
    </row>
    <row r="20" s="35" customFormat="1" ht="17.6" spans="1:121">
      <c r="A20" s="67" t="s">
        <v>173</v>
      </c>
      <c r="B20" s="60" t="s">
        <v>180</v>
      </c>
      <c r="C20" s="51">
        <v>1</v>
      </c>
      <c r="D20" s="51">
        <v>2</v>
      </c>
      <c r="E20" s="51">
        <v>10</v>
      </c>
      <c r="F20" s="51">
        <v>164.98</v>
      </c>
      <c r="G20" s="51">
        <v>175.46</v>
      </c>
      <c r="H20" s="61">
        <v>82283</v>
      </c>
      <c r="I20" s="51">
        <v>42667</v>
      </c>
      <c r="J20" s="51">
        <v>44</v>
      </c>
      <c r="K20" s="61">
        <v>21795</v>
      </c>
      <c r="L20" s="40" t="s">
        <v>0</v>
      </c>
      <c r="M20" s="40" t="s">
        <v>0</v>
      </c>
      <c r="N20" s="52">
        <v>12.9</v>
      </c>
      <c r="O20" s="52">
        <v>8.44</v>
      </c>
      <c r="P20" s="42">
        <v>12.85</v>
      </c>
      <c r="Q20" s="42">
        <v>8</v>
      </c>
      <c r="R20" s="52">
        <v>244.02</v>
      </c>
      <c r="S20" s="42">
        <v>17.87</v>
      </c>
      <c r="T20" s="42">
        <v>12.07</v>
      </c>
      <c r="U20" s="42">
        <v>6.02</v>
      </c>
      <c r="V20" s="42">
        <v>7.66</v>
      </c>
      <c r="W20" s="52">
        <v>2440</v>
      </c>
      <c r="X20" s="53">
        <v>739</v>
      </c>
      <c r="Y20" s="52">
        <v>2073842</v>
      </c>
      <c r="Z20" s="52">
        <v>44.47</v>
      </c>
      <c r="AA20" s="42">
        <v>1699407</v>
      </c>
      <c r="AB20" s="42">
        <v>42487</v>
      </c>
      <c r="AC20" s="42">
        <v>2052296</v>
      </c>
      <c r="AD20" s="42">
        <v>50466</v>
      </c>
      <c r="AE20" s="40" t="s">
        <v>0</v>
      </c>
      <c r="AF20" s="40" t="s">
        <v>0</v>
      </c>
      <c r="AG20" s="52">
        <v>53.19</v>
      </c>
      <c r="AH20" s="52">
        <v>99.1</v>
      </c>
      <c r="AI20" s="53">
        <v>137.53</v>
      </c>
      <c r="AJ20" s="51">
        <v>119.49</v>
      </c>
      <c r="AK20" s="53">
        <v>42.77</v>
      </c>
      <c r="AL20" s="52">
        <v>55</v>
      </c>
      <c r="AM20" s="61">
        <v>5501</v>
      </c>
      <c r="AN20" s="61">
        <v>434</v>
      </c>
      <c r="AO20" s="52">
        <v>120102</v>
      </c>
      <c r="AP20" s="40">
        <v>14.09</v>
      </c>
      <c r="AQ20" s="40" t="s">
        <v>0</v>
      </c>
      <c r="AR20" s="40">
        <v>3205</v>
      </c>
      <c r="AS20" s="51">
        <v>3454</v>
      </c>
      <c r="AT20" s="61">
        <v>3692</v>
      </c>
      <c r="AU20" s="53">
        <v>14</v>
      </c>
      <c r="AV20" s="40" t="s">
        <v>0</v>
      </c>
      <c r="AW20" s="40" t="s">
        <v>0</v>
      </c>
      <c r="AX20" s="53">
        <v>20</v>
      </c>
      <c r="AY20" s="40" t="s">
        <v>0</v>
      </c>
      <c r="AZ20" s="52">
        <v>38824</v>
      </c>
      <c r="BA20" s="52">
        <v>114848</v>
      </c>
      <c r="BB20" s="61">
        <v>187</v>
      </c>
      <c r="BC20" s="61">
        <v>73</v>
      </c>
      <c r="BD20" s="23">
        <v>136.3</v>
      </c>
      <c r="BE20" s="23">
        <v>-8.3</v>
      </c>
      <c r="BF20" s="23">
        <v>14.6</v>
      </c>
      <c r="BG20" s="23">
        <v>12</v>
      </c>
      <c r="BH20" s="54">
        <v>-35</v>
      </c>
      <c r="BI20" s="23">
        <v>10</v>
      </c>
      <c r="BJ20" s="53">
        <v>737.3</v>
      </c>
      <c r="BK20" s="54">
        <v>5.1</v>
      </c>
      <c r="BL20" s="52">
        <v>95.71</v>
      </c>
      <c r="BM20" s="51">
        <v>1.68</v>
      </c>
      <c r="BN20" s="51">
        <v>3.57</v>
      </c>
      <c r="BO20" s="62">
        <v>48.6411981926867</v>
      </c>
      <c r="BP20" s="69">
        <v>8.30173706022397</v>
      </c>
      <c r="BQ20" s="69">
        <v>11.7239137501354</v>
      </c>
      <c r="BR20" s="53">
        <v>101.5</v>
      </c>
      <c r="BS20" s="53">
        <v>89.6</v>
      </c>
      <c r="BT20" s="61">
        <v>0.088</v>
      </c>
      <c r="BU20" s="54" t="s">
        <v>0</v>
      </c>
      <c r="BV20" s="54" t="s">
        <v>0</v>
      </c>
      <c r="BW20" s="54" t="s">
        <v>0</v>
      </c>
      <c r="BX20" s="61">
        <v>96.42</v>
      </c>
      <c r="BY20" s="54" t="s">
        <v>0</v>
      </c>
      <c r="BZ20" s="54" t="s">
        <v>0</v>
      </c>
      <c r="CA20" s="54" t="s">
        <v>0</v>
      </c>
      <c r="CB20" s="54" t="s">
        <v>0</v>
      </c>
      <c r="CC20" s="54" t="s">
        <v>0</v>
      </c>
      <c r="CD20" s="53">
        <v>105</v>
      </c>
      <c r="CE20" s="53">
        <v>11.16</v>
      </c>
      <c r="CF20" s="61">
        <v>90</v>
      </c>
      <c r="CG20" s="52">
        <v>1396</v>
      </c>
      <c r="CH20" s="55">
        <f t="shared" si="0"/>
        <v>16.1585007637175</v>
      </c>
      <c r="CI20" s="55">
        <f t="shared" si="1"/>
        <v>1.27482082011515</v>
      </c>
      <c r="CJ20" s="61">
        <v>24400</v>
      </c>
      <c r="CK20" s="61">
        <v>23912</v>
      </c>
      <c r="CL20" s="61">
        <v>3398</v>
      </c>
      <c r="CM20" s="61">
        <v>1</v>
      </c>
      <c r="CN20" s="61">
        <v>17648</v>
      </c>
      <c r="CO20" s="53">
        <v>4.34</v>
      </c>
      <c r="CP20" s="56">
        <f t="shared" si="8"/>
        <v>78.3825373304457</v>
      </c>
      <c r="CQ20" s="54" t="s">
        <v>181</v>
      </c>
      <c r="CR20" s="62">
        <f>AR20/AS20*100</f>
        <v>92.7909669947886</v>
      </c>
      <c r="CS20" s="52">
        <v>8.9</v>
      </c>
      <c r="CT20" s="52">
        <v>6.15</v>
      </c>
      <c r="CU20" s="62">
        <f t="shared" si="7"/>
        <v>35.7937902753369</v>
      </c>
      <c r="CV20" s="54" t="s">
        <v>0</v>
      </c>
      <c r="CW20" s="54" t="s">
        <v>0</v>
      </c>
      <c r="CX20" s="53">
        <v>30.9</v>
      </c>
      <c r="CY20" s="54" t="s">
        <v>0</v>
      </c>
      <c r="CZ20" s="54" t="s">
        <v>0</v>
      </c>
      <c r="DA20" s="52">
        <v>66.41</v>
      </c>
      <c r="DB20" s="52">
        <v>80.05</v>
      </c>
      <c r="DC20" s="52">
        <v>92.73</v>
      </c>
      <c r="DD20" s="61">
        <v>64.38</v>
      </c>
      <c r="DE20" s="52">
        <v>52</v>
      </c>
      <c r="DF20" s="54" t="s">
        <v>0</v>
      </c>
      <c r="DG20" s="54" t="s">
        <v>0</v>
      </c>
      <c r="DH20" s="52">
        <v>0</v>
      </c>
      <c r="DI20" s="52">
        <v>15</v>
      </c>
      <c r="DJ20" s="54" t="s">
        <v>0</v>
      </c>
      <c r="DK20" s="58">
        <v>70000</v>
      </c>
      <c r="DL20" s="58">
        <v>68500</v>
      </c>
      <c r="DM20" s="58">
        <f t="shared" si="3"/>
        <v>-2.14285714285714</v>
      </c>
      <c r="DN20" s="58">
        <v>150</v>
      </c>
      <c r="DO20" s="58">
        <v>119</v>
      </c>
      <c r="DP20" s="58">
        <f t="shared" si="4"/>
        <v>-20.6666666666667</v>
      </c>
      <c r="DQ20" s="58">
        <v>0</v>
      </c>
    </row>
    <row r="21" s="35" customFormat="1" ht="17.6" spans="1:121">
      <c r="A21" s="67" t="s">
        <v>173</v>
      </c>
      <c r="B21" s="60" t="s">
        <v>182</v>
      </c>
      <c r="C21" s="51">
        <v>1</v>
      </c>
      <c r="D21" s="51">
        <v>1</v>
      </c>
      <c r="E21" s="51">
        <v>4</v>
      </c>
      <c r="F21" s="51">
        <v>130.43</v>
      </c>
      <c r="G21" s="51">
        <v>100.47</v>
      </c>
      <c r="H21" s="40">
        <v>61455</v>
      </c>
      <c r="I21" s="51">
        <v>31902</v>
      </c>
      <c r="J21" s="51">
        <v>53</v>
      </c>
      <c r="K21" s="54">
        <v>16325</v>
      </c>
      <c r="L21" s="40" t="s">
        <v>0</v>
      </c>
      <c r="M21" s="40" t="s">
        <v>0</v>
      </c>
      <c r="N21" s="52">
        <v>14.49</v>
      </c>
      <c r="O21" s="52">
        <v>6.57</v>
      </c>
      <c r="P21" s="54">
        <v>13.99</v>
      </c>
      <c r="Q21" s="54">
        <v>6.35</v>
      </c>
      <c r="R21" s="52">
        <v>161.72</v>
      </c>
      <c r="S21" s="54">
        <v>11.79</v>
      </c>
      <c r="T21" s="54">
        <v>7.77</v>
      </c>
      <c r="U21" s="54">
        <v>4.16</v>
      </c>
      <c r="V21" s="54">
        <v>7.78</v>
      </c>
      <c r="W21" s="52">
        <v>1702</v>
      </c>
      <c r="X21" s="54">
        <v>462</v>
      </c>
      <c r="Y21" s="52">
        <v>1991384</v>
      </c>
      <c r="Z21" s="52">
        <v>151.3</v>
      </c>
      <c r="AA21" s="54">
        <v>110336.8</v>
      </c>
      <c r="AB21" s="54">
        <v>24727</v>
      </c>
      <c r="AC21" s="54">
        <v>1373092</v>
      </c>
      <c r="AD21" s="54">
        <v>30944</v>
      </c>
      <c r="AE21" s="40" t="s">
        <v>0</v>
      </c>
      <c r="AF21" s="40" t="s">
        <v>0</v>
      </c>
      <c r="AG21" s="52">
        <v>43.56</v>
      </c>
      <c r="AH21" s="52">
        <v>60.48</v>
      </c>
      <c r="AI21" s="23">
        <v>106.5</v>
      </c>
      <c r="AJ21" s="51">
        <v>83.55</v>
      </c>
      <c r="AK21" s="40" t="s">
        <v>0</v>
      </c>
      <c r="AL21" s="52">
        <v>39</v>
      </c>
      <c r="AM21" s="61">
        <v>5272</v>
      </c>
      <c r="AN21" s="61">
        <v>2654</v>
      </c>
      <c r="AO21" s="52">
        <v>77983</v>
      </c>
      <c r="AP21" s="54">
        <v>15.43</v>
      </c>
      <c r="AQ21" s="54">
        <v>1.59</v>
      </c>
      <c r="AR21" s="40" t="s">
        <v>0</v>
      </c>
      <c r="AS21" s="51">
        <v>2282</v>
      </c>
      <c r="AT21" s="61">
        <v>1326</v>
      </c>
      <c r="AU21" s="53">
        <v>6</v>
      </c>
      <c r="AV21" s="53">
        <v>1</v>
      </c>
      <c r="AW21" s="53">
        <v>1</v>
      </c>
      <c r="AX21" s="53">
        <v>11</v>
      </c>
      <c r="AY21" s="23">
        <v>3110</v>
      </c>
      <c r="AZ21" s="52">
        <v>23598</v>
      </c>
      <c r="BA21" s="52">
        <v>76388</v>
      </c>
      <c r="BB21" s="61">
        <v>88</v>
      </c>
      <c r="BC21" s="61">
        <v>23</v>
      </c>
      <c r="BD21" s="53">
        <v>207.3</v>
      </c>
      <c r="BE21" s="53">
        <v>-7.1</v>
      </c>
      <c r="BF21" s="53">
        <v>16.4</v>
      </c>
      <c r="BG21" s="53">
        <v>12</v>
      </c>
      <c r="BH21" s="53">
        <v>19.5</v>
      </c>
      <c r="BI21" s="23">
        <v>0.1</v>
      </c>
      <c r="BJ21" s="23">
        <v>512.78</v>
      </c>
      <c r="BK21" s="53">
        <v>5</v>
      </c>
      <c r="BL21" s="52">
        <v>100.18</v>
      </c>
      <c r="BM21" s="51">
        <v>1.26</v>
      </c>
      <c r="BN21" s="51">
        <v>3.41</v>
      </c>
      <c r="BO21" s="62">
        <v>56.4889780878375</v>
      </c>
      <c r="BP21" s="69">
        <v>7.70128859292571</v>
      </c>
      <c r="BQ21" s="69">
        <v>10.4214559386973</v>
      </c>
      <c r="BR21" s="54">
        <v>102</v>
      </c>
      <c r="BS21" s="23">
        <v>91.8</v>
      </c>
      <c r="BT21" s="23">
        <v>0.081</v>
      </c>
      <c r="BU21" s="54" t="s">
        <v>0</v>
      </c>
      <c r="BV21" s="54" t="s">
        <v>0</v>
      </c>
      <c r="BW21" s="54" t="s">
        <v>0</v>
      </c>
      <c r="BX21" s="54" t="s">
        <v>0</v>
      </c>
      <c r="BY21" s="54" t="s">
        <v>0</v>
      </c>
      <c r="BZ21" s="61">
        <v>44</v>
      </c>
      <c r="CA21" s="61">
        <v>62</v>
      </c>
      <c r="CB21" s="61">
        <v>6</v>
      </c>
      <c r="CC21" s="54" t="s">
        <v>0</v>
      </c>
      <c r="CD21" s="53">
        <v>101.05</v>
      </c>
      <c r="CE21" s="53">
        <v>8.8</v>
      </c>
      <c r="CF21" s="54" t="s">
        <v>0</v>
      </c>
      <c r="CG21" s="52">
        <v>938</v>
      </c>
      <c r="CH21" s="55">
        <f t="shared" si="0"/>
        <v>22.8323949761802</v>
      </c>
      <c r="CI21" s="55">
        <f t="shared" si="1"/>
        <v>11.4941533131226</v>
      </c>
      <c r="CJ21" s="61">
        <v>7632</v>
      </c>
      <c r="CK21" s="61">
        <v>7403</v>
      </c>
      <c r="CL21" s="61">
        <v>1610</v>
      </c>
      <c r="CM21" s="54">
        <v>0</v>
      </c>
      <c r="CN21" s="54" t="s">
        <v>0</v>
      </c>
      <c r="CO21" s="53">
        <v>3.57</v>
      </c>
      <c r="CP21" s="56" t="s">
        <v>0</v>
      </c>
      <c r="CQ21" s="61" t="s">
        <v>183</v>
      </c>
      <c r="CR21" s="61">
        <v>92.7</v>
      </c>
      <c r="CS21" s="52">
        <v>15.36</v>
      </c>
      <c r="CT21" s="52">
        <v>12.33</v>
      </c>
      <c r="CU21" s="62" t="s">
        <v>0</v>
      </c>
      <c r="CV21" s="53">
        <v>94.78</v>
      </c>
      <c r="CW21" s="23">
        <v>99.25</v>
      </c>
      <c r="CX21" s="54">
        <v>38.25</v>
      </c>
      <c r="CY21" s="61">
        <f>14.94*666.7</f>
        <v>9960.498</v>
      </c>
      <c r="CZ21" s="54">
        <v>100</v>
      </c>
      <c r="DA21" s="52">
        <v>78</v>
      </c>
      <c r="DB21" s="52">
        <v>100</v>
      </c>
      <c r="DC21" s="52">
        <v>94.7</v>
      </c>
      <c r="DD21" s="23">
        <v>57.26</v>
      </c>
      <c r="DE21" s="54" t="s">
        <v>0</v>
      </c>
      <c r="DF21" s="61">
        <v>399</v>
      </c>
      <c r="DG21" s="61">
        <v>100</v>
      </c>
      <c r="DH21" s="61">
        <v>87</v>
      </c>
      <c r="DI21" s="61">
        <v>87</v>
      </c>
      <c r="DJ21" s="61">
        <v>15</v>
      </c>
      <c r="DK21" s="58">
        <v>17854</v>
      </c>
      <c r="DL21" s="58">
        <v>33275</v>
      </c>
      <c r="DM21" s="58">
        <f t="shared" si="3"/>
        <v>86.3728016130839</v>
      </c>
      <c r="DN21" s="58">
        <v>1</v>
      </c>
      <c r="DO21" s="58">
        <v>1</v>
      </c>
      <c r="DP21" s="58">
        <f t="shared" si="4"/>
        <v>0</v>
      </c>
      <c r="DQ21" s="58">
        <v>0</v>
      </c>
    </row>
    <row r="22" s="35" customFormat="1" ht="17.6" spans="1:121">
      <c r="A22" s="67" t="s">
        <v>173</v>
      </c>
      <c r="B22" s="60" t="s">
        <v>184</v>
      </c>
      <c r="C22" s="51">
        <v>0</v>
      </c>
      <c r="D22" s="51">
        <v>2</v>
      </c>
      <c r="E22" s="51">
        <v>4</v>
      </c>
      <c r="F22" s="51">
        <v>91.46</v>
      </c>
      <c r="G22" s="51">
        <v>83.93</v>
      </c>
      <c r="H22" s="61" t="s">
        <v>0</v>
      </c>
      <c r="I22" s="51">
        <v>21554</v>
      </c>
      <c r="J22" s="51">
        <v>15</v>
      </c>
      <c r="K22" s="54">
        <v>6416</v>
      </c>
      <c r="L22" s="40" t="s">
        <v>0</v>
      </c>
      <c r="M22" s="40" t="s">
        <v>0</v>
      </c>
      <c r="N22" s="52">
        <v>5.4</v>
      </c>
      <c r="O22" s="52">
        <v>1.19</v>
      </c>
      <c r="P22" s="54">
        <v>5.23</v>
      </c>
      <c r="Q22" s="54">
        <v>1.16</v>
      </c>
      <c r="R22" s="52">
        <v>143.06</v>
      </c>
      <c r="S22" s="54">
        <v>12.58</v>
      </c>
      <c r="T22" s="23">
        <v>7.6</v>
      </c>
      <c r="U22" s="23">
        <v>3.2</v>
      </c>
      <c r="V22" s="23">
        <v>6.6</v>
      </c>
      <c r="W22" s="52">
        <v>1961</v>
      </c>
      <c r="X22" s="40" t="s">
        <v>0</v>
      </c>
      <c r="Y22" s="52">
        <v>1001920</v>
      </c>
      <c r="Z22" s="52">
        <v>95.9</v>
      </c>
      <c r="AA22" s="54">
        <v>106351</v>
      </c>
      <c r="AB22" s="54">
        <v>26142</v>
      </c>
      <c r="AC22" s="54">
        <v>136097</v>
      </c>
      <c r="AD22" s="54">
        <v>34572</v>
      </c>
      <c r="AE22" s="40" t="s">
        <v>0</v>
      </c>
      <c r="AF22" s="40" t="s">
        <v>0</v>
      </c>
      <c r="AG22" s="52">
        <v>27.12</v>
      </c>
      <c r="AH22" s="52">
        <v>41.3</v>
      </c>
      <c r="AI22" s="54">
        <v>78.82</v>
      </c>
      <c r="AJ22" s="51">
        <v>68.8</v>
      </c>
      <c r="AK22" s="23">
        <v>17.4</v>
      </c>
      <c r="AL22" s="52">
        <v>21</v>
      </c>
      <c r="AM22" s="40" t="s">
        <v>0</v>
      </c>
      <c r="AN22" s="61">
        <v>2964</v>
      </c>
      <c r="AO22" s="52">
        <v>99458</v>
      </c>
      <c r="AP22" s="40" t="s">
        <v>0</v>
      </c>
      <c r="AQ22" s="40" t="s">
        <v>0</v>
      </c>
      <c r="AR22" s="40" t="s">
        <v>0</v>
      </c>
      <c r="AS22" s="51">
        <v>1687</v>
      </c>
      <c r="AT22" s="40" t="s">
        <v>0</v>
      </c>
      <c r="AU22" s="23">
        <v>7</v>
      </c>
      <c r="AV22" s="40" t="s">
        <v>0</v>
      </c>
      <c r="AW22" s="54">
        <v>7</v>
      </c>
      <c r="AX22" s="23">
        <v>8</v>
      </c>
      <c r="AY22" s="54">
        <v>34</v>
      </c>
      <c r="AZ22" s="52">
        <v>51224</v>
      </c>
      <c r="BA22" s="52">
        <v>78559</v>
      </c>
      <c r="BB22" s="61">
        <v>68</v>
      </c>
      <c r="BC22" s="61">
        <v>51</v>
      </c>
      <c r="BD22" s="23">
        <v>169.1</v>
      </c>
      <c r="BE22" s="23">
        <v>-21.7</v>
      </c>
      <c r="BF22" s="53">
        <v>5.2</v>
      </c>
      <c r="BG22" s="53">
        <v>12.4</v>
      </c>
      <c r="BH22" s="23">
        <v>-20.3</v>
      </c>
      <c r="BI22" s="23">
        <v>0</v>
      </c>
      <c r="BJ22" s="23">
        <v>443</v>
      </c>
      <c r="BK22" s="54">
        <v>4.5</v>
      </c>
      <c r="BL22" s="52">
        <v>94.03</v>
      </c>
      <c r="BM22" s="51">
        <v>1.86</v>
      </c>
      <c r="BN22" s="51">
        <v>3.65</v>
      </c>
      <c r="BO22" s="54">
        <v>52.15</v>
      </c>
      <c r="BP22" s="69">
        <v>7.69907058528008</v>
      </c>
      <c r="BQ22" s="69">
        <v>10.7989944256203</v>
      </c>
      <c r="BR22" s="54">
        <v>101.9</v>
      </c>
      <c r="BS22" s="23">
        <v>88.4</v>
      </c>
      <c r="BT22" s="54">
        <v>0.035</v>
      </c>
      <c r="BU22" s="54">
        <v>4.27</v>
      </c>
      <c r="BV22" s="54" t="s">
        <v>0</v>
      </c>
      <c r="BW22" s="54" t="s">
        <v>0</v>
      </c>
      <c r="BX22" s="54" t="s">
        <v>0</v>
      </c>
      <c r="BY22" s="54" t="s">
        <v>0</v>
      </c>
      <c r="BZ22" s="54" t="s">
        <v>0</v>
      </c>
      <c r="CA22" s="54" t="s">
        <v>0</v>
      </c>
      <c r="CB22" s="61">
        <v>53</v>
      </c>
      <c r="CC22" s="61">
        <v>100</v>
      </c>
      <c r="CD22" s="54" t="s">
        <v>0</v>
      </c>
      <c r="CE22" s="23">
        <v>11.25</v>
      </c>
      <c r="CF22" s="54" t="s">
        <v>0</v>
      </c>
      <c r="CG22" s="52">
        <v>606</v>
      </c>
      <c r="CH22" s="55" t="e">
        <f t="shared" si="0"/>
        <v>#VALUE!</v>
      </c>
      <c r="CI22" s="55">
        <f t="shared" si="1"/>
        <v>16.8994811562803</v>
      </c>
      <c r="CJ22" s="61">
        <v>6400</v>
      </c>
      <c r="CK22" s="61">
        <v>6272</v>
      </c>
      <c r="CL22" s="61">
        <v>2114</v>
      </c>
      <c r="CM22" s="54" t="s">
        <v>0</v>
      </c>
      <c r="CN22" s="61">
        <v>13634</v>
      </c>
      <c r="CO22" s="53">
        <v>2.41</v>
      </c>
      <c r="CP22" s="56">
        <f t="shared" ref="CP22:CP24" si="9">AI22/G22*100</f>
        <v>93.9115929941618</v>
      </c>
      <c r="CQ22" s="53" t="s">
        <v>185</v>
      </c>
      <c r="CR22" s="54" t="s">
        <v>0</v>
      </c>
      <c r="CS22" s="52">
        <v>7.31</v>
      </c>
      <c r="CT22" s="52">
        <v>3.35</v>
      </c>
      <c r="CU22" s="62">
        <f t="shared" ref="CU22:CU24" si="10">AK22/AJ22*100</f>
        <v>25.2906976744186</v>
      </c>
      <c r="CV22" s="54" t="s">
        <v>0</v>
      </c>
      <c r="CW22" s="53">
        <v>99.68</v>
      </c>
      <c r="CX22" s="54" t="s">
        <v>0</v>
      </c>
      <c r="CY22" s="54" t="s">
        <v>0</v>
      </c>
      <c r="CZ22" s="54" t="s">
        <v>0</v>
      </c>
      <c r="DA22" s="52">
        <v>86.86</v>
      </c>
      <c r="DB22" s="52">
        <v>91.22</v>
      </c>
      <c r="DC22" s="52">
        <v>97.3</v>
      </c>
      <c r="DD22" s="23">
        <v>82.47</v>
      </c>
      <c r="DE22" s="54" t="s">
        <v>0</v>
      </c>
      <c r="DF22" s="54" t="s">
        <v>0</v>
      </c>
      <c r="DG22" s="61">
        <v>100</v>
      </c>
      <c r="DH22" s="61">
        <v>44</v>
      </c>
      <c r="DI22" s="61">
        <v>66</v>
      </c>
      <c r="DJ22" s="54" t="s">
        <v>0</v>
      </c>
      <c r="DK22" s="58">
        <v>31026</v>
      </c>
      <c r="DL22" s="58">
        <v>37542</v>
      </c>
      <c r="DM22" s="58">
        <f t="shared" si="3"/>
        <v>21.00174047573</v>
      </c>
      <c r="DN22" s="58">
        <v>12</v>
      </c>
      <c r="DO22" s="58">
        <v>12</v>
      </c>
      <c r="DP22" s="58">
        <f t="shared" si="4"/>
        <v>0</v>
      </c>
      <c r="DQ22" s="58">
        <v>8</v>
      </c>
    </row>
    <row r="23" s="35" customFormat="1" ht="17.6" spans="1:121">
      <c r="A23" s="67" t="s">
        <v>173</v>
      </c>
      <c r="B23" s="60" t="s">
        <v>186</v>
      </c>
      <c r="C23" s="51">
        <v>1</v>
      </c>
      <c r="D23" s="51">
        <v>1</v>
      </c>
      <c r="E23" s="51">
        <v>9</v>
      </c>
      <c r="F23" s="51">
        <v>167.52</v>
      </c>
      <c r="G23" s="51">
        <v>164.51</v>
      </c>
      <c r="H23" s="61">
        <v>117372</v>
      </c>
      <c r="I23" s="51">
        <v>40225</v>
      </c>
      <c r="J23" s="51">
        <v>75</v>
      </c>
      <c r="K23" s="61" t="s">
        <v>0</v>
      </c>
      <c r="L23" s="40" t="s">
        <v>0</v>
      </c>
      <c r="M23" s="40" t="s">
        <v>0</v>
      </c>
      <c r="N23" s="52">
        <v>9.36</v>
      </c>
      <c r="O23" s="52">
        <v>3.47</v>
      </c>
      <c r="P23" s="40" t="s">
        <v>0</v>
      </c>
      <c r="Q23" s="40" t="s">
        <v>0</v>
      </c>
      <c r="R23" s="52">
        <v>216.85</v>
      </c>
      <c r="S23" s="40" t="s">
        <v>0</v>
      </c>
      <c r="T23" s="40" t="s">
        <v>0</v>
      </c>
      <c r="U23" s="40" t="s">
        <v>0</v>
      </c>
      <c r="V23" s="40" t="s">
        <v>0</v>
      </c>
      <c r="W23" s="52">
        <v>1820</v>
      </c>
      <c r="X23" s="23">
        <v>528</v>
      </c>
      <c r="Y23" s="52">
        <v>1574740</v>
      </c>
      <c r="Z23" s="52">
        <v>35.23</v>
      </c>
      <c r="AA23" s="40" t="s">
        <v>0</v>
      </c>
      <c r="AB23" s="40" t="s">
        <v>0</v>
      </c>
      <c r="AC23" s="40" t="s">
        <v>0</v>
      </c>
      <c r="AD23" s="40" t="s">
        <v>0</v>
      </c>
      <c r="AE23" s="40" t="s">
        <v>0</v>
      </c>
      <c r="AF23" s="40" t="s">
        <v>0</v>
      </c>
      <c r="AG23" s="52">
        <v>48.8</v>
      </c>
      <c r="AH23" s="52">
        <v>88.8</v>
      </c>
      <c r="AI23" s="53">
        <v>143.9</v>
      </c>
      <c r="AJ23" s="51">
        <v>131.7</v>
      </c>
      <c r="AK23" s="23">
        <v>54</v>
      </c>
      <c r="AL23" s="52">
        <v>51</v>
      </c>
      <c r="AM23" s="40" t="s">
        <v>0</v>
      </c>
      <c r="AN23" s="61" t="s">
        <v>0</v>
      </c>
      <c r="AO23" s="52">
        <v>99895</v>
      </c>
      <c r="AP23" s="40" t="s">
        <v>0</v>
      </c>
      <c r="AQ23" s="40" t="s">
        <v>0</v>
      </c>
      <c r="AR23" s="40" t="s">
        <v>0</v>
      </c>
      <c r="AS23" s="51">
        <v>2747</v>
      </c>
      <c r="AT23" s="61">
        <v>2863</v>
      </c>
      <c r="AU23" s="23">
        <v>12</v>
      </c>
      <c r="AV23" s="40" t="s">
        <v>0</v>
      </c>
      <c r="AW23" s="23">
        <v>12</v>
      </c>
      <c r="AX23" s="23">
        <v>49</v>
      </c>
      <c r="AY23" s="40" t="s">
        <v>0</v>
      </c>
      <c r="AZ23" s="52">
        <v>41748</v>
      </c>
      <c r="BA23" s="52">
        <v>91093</v>
      </c>
      <c r="BB23" s="61">
        <v>107</v>
      </c>
      <c r="BC23" s="61">
        <v>34</v>
      </c>
      <c r="BD23" s="23">
        <v>117.5</v>
      </c>
      <c r="BE23" s="23">
        <v>2.1</v>
      </c>
      <c r="BF23" s="53">
        <v>16.9</v>
      </c>
      <c r="BG23" s="53">
        <v>12.8</v>
      </c>
      <c r="BH23" s="54">
        <v>-19</v>
      </c>
      <c r="BI23" s="23">
        <v>91.8</v>
      </c>
      <c r="BJ23" s="23">
        <v>420.7</v>
      </c>
      <c r="BK23" s="53">
        <v>7.2</v>
      </c>
      <c r="BL23" s="52">
        <v>100.2</v>
      </c>
      <c r="BM23" s="51">
        <v>1.54</v>
      </c>
      <c r="BN23" s="51">
        <v>3.89</v>
      </c>
      <c r="BO23" s="53">
        <v>50.45</v>
      </c>
      <c r="BP23" s="69">
        <v>8.74560176353385</v>
      </c>
      <c r="BQ23" s="69">
        <v>10.989010989011</v>
      </c>
      <c r="BR23" s="53">
        <v>101.6</v>
      </c>
      <c r="BS23" s="23">
        <v>92.7</v>
      </c>
      <c r="BT23" s="23">
        <v>0.1335</v>
      </c>
      <c r="BU23" s="61">
        <v>0.77</v>
      </c>
      <c r="BV23" s="54" t="s">
        <v>0</v>
      </c>
      <c r="BW23" s="54" t="s">
        <v>0</v>
      </c>
      <c r="BX23" s="54" t="s">
        <v>0</v>
      </c>
      <c r="BY23" s="54" t="s">
        <v>0</v>
      </c>
      <c r="BZ23" s="54" t="s">
        <v>0</v>
      </c>
      <c r="CA23" s="54" t="s">
        <v>0</v>
      </c>
      <c r="CB23" s="54" t="s">
        <v>0</v>
      </c>
      <c r="CC23" s="54" t="s">
        <v>0</v>
      </c>
      <c r="CD23" s="54" t="s">
        <v>0</v>
      </c>
      <c r="CE23" s="53">
        <v>11.15</v>
      </c>
      <c r="CF23" s="54" t="s">
        <v>0</v>
      </c>
      <c r="CG23" s="52">
        <v>1205</v>
      </c>
      <c r="CH23" s="55" t="e">
        <f t="shared" si="0"/>
        <v>#VALUE!</v>
      </c>
      <c r="CI23" s="55" t="e">
        <f t="shared" si="1"/>
        <v>#VALUE!</v>
      </c>
      <c r="CJ23" s="61">
        <v>13470</v>
      </c>
      <c r="CK23" s="61">
        <v>13470</v>
      </c>
      <c r="CL23" s="61">
        <v>1300</v>
      </c>
      <c r="CM23" s="54" t="s">
        <v>0</v>
      </c>
      <c r="CN23" s="70">
        <v>16164</v>
      </c>
      <c r="CO23" s="53">
        <v>3.83</v>
      </c>
      <c r="CP23" s="56">
        <f t="shared" si="9"/>
        <v>87.4718862075254</v>
      </c>
      <c r="CQ23" s="53" t="s">
        <v>187</v>
      </c>
      <c r="CR23" s="54" t="s">
        <v>0</v>
      </c>
      <c r="CS23" s="52">
        <v>13.88</v>
      </c>
      <c r="CT23" s="52">
        <v>21.72</v>
      </c>
      <c r="CU23" s="62">
        <f t="shared" si="10"/>
        <v>41.002277904328</v>
      </c>
      <c r="CV23" s="61">
        <v>95</v>
      </c>
      <c r="CW23" s="53">
        <v>99.5</v>
      </c>
      <c r="CX23" s="54" t="s">
        <v>0</v>
      </c>
      <c r="CY23" s="54" t="s">
        <v>0</v>
      </c>
      <c r="CZ23" s="54" t="s">
        <v>0</v>
      </c>
      <c r="DA23" s="52">
        <v>79.45</v>
      </c>
      <c r="DB23" s="52">
        <v>96.6</v>
      </c>
      <c r="DC23" s="52">
        <v>96.6</v>
      </c>
      <c r="DD23" s="23">
        <v>67.4</v>
      </c>
      <c r="DE23" s="54" t="s">
        <v>0</v>
      </c>
      <c r="DF23" s="61">
        <v>1332</v>
      </c>
      <c r="DG23" s="54" t="s">
        <v>0</v>
      </c>
      <c r="DH23" s="54" t="s">
        <v>0</v>
      </c>
      <c r="DI23" s="61">
        <v>219</v>
      </c>
      <c r="DJ23" s="54" t="s">
        <v>0</v>
      </c>
      <c r="DK23" s="58" t="s">
        <v>0</v>
      </c>
      <c r="DL23" s="58" t="s">
        <v>0</v>
      </c>
      <c r="DM23" s="58" t="e">
        <f t="shared" si="3"/>
        <v>#VALUE!</v>
      </c>
      <c r="DN23" s="58" t="s">
        <v>0</v>
      </c>
      <c r="DO23" s="58" t="s">
        <v>0</v>
      </c>
      <c r="DP23" s="58" t="e">
        <f t="shared" si="4"/>
        <v>#VALUE!</v>
      </c>
      <c r="DQ23" s="58" t="s">
        <v>0</v>
      </c>
    </row>
    <row r="24" s="35" customFormat="1" ht="17.6" spans="1:121">
      <c r="A24" s="67" t="s">
        <v>173</v>
      </c>
      <c r="B24" s="60" t="s">
        <v>188</v>
      </c>
      <c r="C24" s="51">
        <v>2</v>
      </c>
      <c r="D24" s="51">
        <v>1</v>
      </c>
      <c r="E24" s="51">
        <v>10</v>
      </c>
      <c r="F24" s="51">
        <v>233.45</v>
      </c>
      <c r="G24" s="51">
        <v>291.78</v>
      </c>
      <c r="H24" s="61">
        <v>140060</v>
      </c>
      <c r="I24" s="51">
        <v>40342</v>
      </c>
      <c r="J24" s="51">
        <v>80</v>
      </c>
      <c r="K24" s="61">
        <v>24709</v>
      </c>
      <c r="L24" s="40" t="s">
        <v>0</v>
      </c>
      <c r="M24" s="40" t="s">
        <v>0</v>
      </c>
      <c r="N24" s="52">
        <v>0.16</v>
      </c>
      <c r="O24" s="52">
        <v>10.06</v>
      </c>
      <c r="P24" s="54">
        <v>0.16</v>
      </c>
      <c r="Q24" s="54">
        <v>9.9</v>
      </c>
      <c r="R24" s="52">
        <v>238.77</v>
      </c>
      <c r="S24" s="54">
        <v>18.71</v>
      </c>
      <c r="T24" s="54">
        <v>11.79</v>
      </c>
      <c r="U24" s="54">
        <v>6.01</v>
      </c>
      <c r="V24" s="23">
        <v>8.3</v>
      </c>
      <c r="W24" s="52">
        <v>1688</v>
      </c>
      <c r="X24" s="23">
        <v>867</v>
      </c>
      <c r="Y24" s="52">
        <v>1326317</v>
      </c>
      <c r="Z24" s="52">
        <v>38.6</v>
      </c>
      <c r="AA24" s="54">
        <v>207231.5</v>
      </c>
      <c r="AB24" s="54">
        <v>59072</v>
      </c>
      <c r="AC24" s="54">
        <v>259897</v>
      </c>
      <c r="AD24" s="54">
        <v>69983</v>
      </c>
      <c r="AE24" s="61">
        <v>10</v>
      </c>
      <c r="AF24" s="61">
        <v>192</v>
      </c>
      <c r="AG24" s="52">
        <v>58.5</v>
      </c>
      <c r="AH24" s="52">
        <v>87.2</v>
      </c>
      <c r="AI24" s="53">
        <v>282.4</v>
      </c>
      <c r="AJ24" s="51">
        <v>172.42</v>
      </c>
      <c r="AK24" s="53">
        <v>58.5</v>
      </c>
      <c r="AL24" s="52">
        <v>72</v>
      </c>
      <c r="AM24" s="61">
        <v>11064</v>
      </c>
      <c r="AN24" s="40" t="s">
        <v>0</v>
      </c>
      <c r="AO24" s="52">
        <v>134217</v>
      </c>
      <c r="AP24" s="54">
        <v>8.76</v>
      </c>
      <c r="AQ24" s="40" t="s">
        <v>0</v>
      </c>
      <c r="AR24" s="40" t="s">
        <v>0</v>
      </c>
      <c r="AS24" s="51">
        <v>3197</v>
      </c>
      <c r="AT24" s="61">
        <v>3403</v>
      </c>
      <c r="AU24" s="53">
        <v>13</v>
      </c>
      <c r="AV24" s="53">
        <v>20</v>
      </c>
      <c r="AW24" s="53">
        <v>1</v>
      </c>
      <c r="AX24" s="23">
        <v>16</v>
      </c>
      <c r="AY24" s="40" t="s">
        <v>0</v>
      </c>
      <c r="AZ24" s="52">
        <v>74371</v>
      </c>
      <c r="BA24" s="52">
        <v>175407</v>
      </c>
      <c r="BB24" s="61">
        <v>152</v>
      </c>
      <c r="BC24" s="61">
        <v>77</v>
      </c>
      <c r="BD24" s="23">
        <v>101.7</v>
      </c>
      <c r="BE24" s="23">
        <v>11.4</v>
      </c>
      <c r="BF24" s="53">
        <v>19.2</v>
      </c>
      <c r="BG24" s="53">
        <v>12.3</v>
      </c>
      <c r="BH24" s="53">
        <v>-14.2</v>
      </c>
      <c r="BI24" s="54" t="s">
        <v>0</v>
      </c>
      <c r="BJ24" s="53">
        <v>386.9</v>
      </c>
      <c r="BK24" s="53">
        <v>3.8</v>
      </c>
      <c r="BL24" s="52">
        <v>-1363.52</v>
      </c>
      <c r="BM24" s="51">
        <v>1.89</v>
      </c>
      <c r="BN24" s="51">
        <v>5.28</v>
      </c>
      <c r="BO24" s="23">
        <v>44.45</v>
      </c>
      <c r="BP24" s="69">
        <v>8.90827126617013</v>
      </c>
      <c r="BQ24" s="69">
        <v>11.5305422100206</v>
      </c>
      <c r="BR24" s="53">
        <v>102</v>
      </c>
      <c r="BS24" s="23">
        <v>93.6</v>
      </c>
      <c r="BT24" s="65">
        <v>0.074892797201872</v>
      </c>
      <c r="BU24" s="54" t="s">
        <v>0</v>
      </c>
      <c r="BV24" s="54" t="s">
        <v>0</v>
      </c>
      <c r="BW24" s="54" t="s">
        <v>0</v>
      </c>
      <c r="BX24" s="54" t="s">
        <v>0</v>
      </c>
      <c r="BY24" s="61">
        <v>116</v>
      </c>
      <c r="BZ24" s="54" t="s">
        <v>0</v>
      </c>
      <c r="CA24" s="61">
        <v>88</v>
      </c>
      <c r="CB24" s="61">
        <v>15</v>
      </c>
      <c r="CC24" s="61">
        <v>94.56</v>
      </c>
      <c r="CD24" s="54" t="s">
        <v>0</v>
      </c>
      <c r="CE24" s="61">
        <v>10.3</v>
      </c>
      <c r="CF24" s="61">
        <v>89.38</v>
      </c>
      <c r="CG24" s="52">
        <v>1261</v>
      </c>
      <c r="CH24" s="55">
        <f t="shared" si="0"/>
        <v>21.0650572130305</v>
      </c>
      <c r="CI24" s="55" t="e">
        <f t="shared" si="1"/>
        <v>#VALUE!</v>
      </c>
      <c r="CJ24" s="61">
        <v>28000</v>
      </c>
      <c r="CK24" s="61">
        <v>27440</v>
      </c>
      <c r="CL24" s="61">
        <v>2460</v>
      </c>
      <c r="CM24" s="54" t="s">
        <v>0</v>
      </c>
      <c r="CN24" s="61">
        <v>5912</v>
      </c>
      <c r="CO24" s="53">
        <v>5.81</v>
      </c>
      <c r="CP24" s="56">
        <f t="shared" si="9"/>
        <v>96.7852491603263</v>
      </c>
      <c r="CQ24" s="61" t="s">
        <v>189</v>
      </c>
      <c r="CR24" s="54" t="s">
        <v>0</v>
      </c>
      <c r="CS24" s="52">
        <v>10.31</v>
      </c>
      <c r="CT24" s="52">
        <v>13.09</v>
      </c>
      <c r="CU24" s="62">
        <f t="shared" si="10"/>
        <v>33.9287785639717</v>
      </c>
      <c r="CV24" s="54" t="s">
        <v>0</v>
      </c>
      <c r="CW24" s="61">
        <v>99.56</v>
      </c>
      <c r="CX24" s="54" t="s">
        <v>0</v>
      </c>
      <c r="CY24" s="61">
        <f>29*666.7</f>
        <v>19334.3</v>
      </c>
      <c r="CZ24" s="54" t="s">
        <v>0</v>
      </c>
      <c r="DA24" s="52">
        <v>44.6</v>
      </c>
      <c r="DB24" s="52">
        <v>96</v>
      </c>
      <c r="DC24" s="52">
        <v>98.8</v>
      </c>
      <c r="DD24" s="54" t="s">
        <v>0</v>
      </c>
      <c r="DE24" s="54" t="s">
        <v>0</v>
      </c>
      <c r="DF24" s="54" t="s">
        <v>0</v>
      </c>
      <c r="DG24" s="61">
        <v>100</v>
      </c>
      <c r="DH24" s="61">
        <v>17</v>
      </c>
      <c r="DI24" s="61">
        <v>17</v>
      </c>
      <c r="DJ24" s="54" t="s">
        <v>0</v>
      </c>
      <c r="DK24" s="58">
        <v>38569</v>
      </c>
      <c r="DL24" s="58">
        <v>78881</v>
      </c>
      <c r="DM24" s="58">
        <f t="shared" si="3"/>
        <v>104.519173429438</v>
      </c>
      <c r="DN24" s="58">
        <v>0</v>
      </c>
      <c r="DO24" s="58">
        <v>103</v>
      </c>
      <c r="DP24" s="58" t="e">
        <f t="shared" si="4"/>
        <v>#DIV/0!</v>
      </c>
      <c r="DQ24" s="58">
        <v>0</v>
      </c>
    </row>
    <row r="25" s="35" customFormat="1" ht="17.6" spans="1:121">
      <c r="A25" s="67" t="s">
        <v>173</v>
      </c>
      <c r="B25" s="60" t="s">
        <v>190</v>
      </c>
      <c r="C25" s="51">
        <v>1</v>
      </c>
      <c r="D25" s="51">
        <v>1</v>
      </c>
      <c r="E25" s="51">
        <v>12</v>
      </c>
      <c r="F25" s="51">
        <v>139.72</v>
      </c>
      <c r="G25" s="51">
        <v>173.13</v>
      </c>
      <c r="H25" s="40" t="s">
        <v>0</v>
      </c>
      <c r="I25" s="51">
        <v>34428</v>
      </c>
      <c r="J25" s="51">
        <v>30</v>
      </c>
      <c r="K25" s="40" t="s">
        <v>0</v>
      </c>
      <c r="L25" s="40" t="s">
        <v>0</v>
      </c>
      <c r="M25" s="40" t="s">
        <v>0</v>
      </c>
      <c r="N25" s="52">
        <v>3.2</v>
      </c>
      <c r="O25" s="52">
        <v>1.56</v>
      </c>
      <c r="P25" s="40" t="s">
        <v>0</v>
      </c>
      <c r="Q25" s="40" t="s">
        <v>0</v>
      </c>
      <c r="R25" s="52">
        <v>213.95</v>
      </c>
      <c r="S25" s="40" t="s">
        <v>0</v>
      </c>
      <c r="T25" s="40" t="s">
        <v>0</v>
      </c>
      <c r="U25" s="40" t="s">
        <v>0</v>
      </c>
      <c r="V25" s="40" t="s">
        <v>0</v>
      </c>
      <c r="W25" s="52">
        <v>1006</v>
      </c>
      <c r="X25" s="23">
        <v>387</v>
      </c>
      <c r="Y25" s="52">
        <v>959068</v>
      </c>
      <c r="Z25" s="52">
        <v>25.4</v>
      </c>
      <c r="AA25" s="40" t="s">
        <v>0</v>
      </c>
      <c r="AB25" s="40" t="s">
        <v>0</v>
      </c>
      <c r="AC25" s="40" t="s">
        <v>0</v>
      </c>
      <c r="AD25" s="40" t="s">
        <v>0</v>
      </c>
      <c r="AE25" s="40" t="s">
        <v>0</v>
      </c>
      <c r="AF25" s="40" t="s">
        <v>0</v>
      </c>
      <c r="AG25" s="52">
        <v>39.9</v>
      </c>
      <c r="AH25" s="52">
        <v>66.13</v>
      </c>
      <c r="AI25" s="40" t="s">
        <v>0</v>
      </c>
      <c r="AJ25" s="51">
        <v>134.27</v>
      </c>
      <c r="AK25" s="40" t="s">
        <v>0</v>
      </c>
      <c r="AL25" s="52">
        <v>37</v>
      </c>
      <c r="AM25" s="40" t="s">
        <v>0</v>
      </c>
      <c r="AN25" s="40" t="s">
        <v>0</v>
      </c>
      <c r="AO25" s="52">
        <v>64074</v>
      </c>
      <c r="AP25" s="40" t="s">
        <v>0</v>
      </c>
      <c r="AQ25" s="40" t="s">
        <v>0</v>
      </c>
      <c r="AR25" s="40" t="s">
        <v>0</v>
      </c>
      <c r="AS25" s="51">
        <v>4888</v>
      </c>
      <c r="AT25" s="40" t="s">
        <v>0</v>
      </c>
      <c r="AU25" s="23">
        <v>14</v>
      </c>
      <c r="AV25" s="40" t="s">
        <v>0</v>
      </c>
      <c r="AW25" s="23">
        <v>1</v>
      </c>
      <c r="AX25" s="23">
        <v>15</v>
      </c>
      <c r="AY25" s="40" t="s">
        <v>0</v>
      </c>
      <c r="AZ25" s="52">
        <v>79793</v>
      </c>
      <c r="BA25" s="52">
        <v>188665</v>
      </c>
      <c r="BB25" s="40" t="s">
        <v>0</v>
      </c>
      <c r="BC25" s="40" t="s">
        <v>0</v>
      </c>
      <c r="BD25" s="23">
        <v>80.8</v>
      </c>
      <c r="BE25" s="23">
        <v>9.6</v>
      </c>
      <c r="BF25" s="53">
        <v>18.4</v>
      </c>
      <c r="BG25" s="53">
        <v>11.8</v>
      </c>
      <c r="BH25" s="54">
        <v>5.3</v>
      </c>
      <c r="BI25" s="23">
        <v>87.3</v>
      </c>
      <c r="BJ25" s="53">
        <v>308.4</v>
      </c>
      <c r="BK25" s="53">
        <v>6.7</v>
      </c>
      <c r="BL25" s="52">
        <v>69.32</v>
      </c>
      <c r="BM25" s="51">
        <v>1.36</v>
      </c>
      <c r="BN25" s="51">
        <v>4.29</v>
      </c>
      <c r="BO25" s="53">
        <v>44.66</v>
      </c>
      <c r="BP25" s="69">
        <v>8.58812949640288</v>
      </c>
      <c r="BQ25" s="69">
        <v>11.1637224549262</v>
      </c>
      <c r="BR25" s="53">
        <v>101.9</v>
      </c>
      <c r="BS25" s="23">
        <v>87.7</v>
      </c>
      <c r="BT25" s="65">
        <v>0.105829531554398</v>
      </c>
      <c r="BU25" s="54" t="s">
        <v>0</v>
      </c>
      <c r="BV25" s="54" t="s">
        <v>0</v>
      </c>
      <c r="BW25" s="54" t="s">
        <v>0</v>
      </c>
      <c r="BX25" s="54" t="s">
        <v>0</v>
      </c>
      <c r="BY25" s="57" t="s">
        <v>0</v>
      </c>
      <c r="BZ25" s="54" t="s">
        <v>0</v>
      </c>
      <c r="CA25" s="57" t="s">
        <v>0</v>
      </c>
      <c r="CB25" s="57" t="s">
        <v>0</v>
      </c>
      <c r="CC25" s="57" t="s">
        <v>0</v>
      </c>
      <c r="CD25" s="54" t="s">
        <v>0</v>
      </c>
      <c r="CE25" s="23">
        <v>11.5</v>
      </c>
      <c r="CF25" s="54" t="s">
        <v>0</v>
      </c>
      <c r="CG25" s="52">
        <v>767</v>
      </c>
      <c r="CH25" s="55" t="e">
        <f t="shared" si="0"/>
        <v>#VALUE!</v>
      </c>
      <c r="CI25" s="55" t="e">
        <f t="shared" si="1"/>
        <v>#VALUE!</v>
      </c>
      <c r="CJ25" s="54" t="s">
        <v>0</v>
      </c>
      <c r="CK25" s="54" t="s">
        <v>0</v>
      </c>
      <c r="CL25" s="54" t="s">
        <v>0</v>
      </c>
      <c r="CM25" s="54" t="s">
        <v>0</v>
      </c>
      <c r="CN25" s="54" t="s">
        <v>0</v>
      </c>
      <c r="CO25" s="53">
        <v>3.72</v>
      </c>
      <c r="CP25" s="56" t="s">
        <v>0</v>
      </c>
      <c r="CQ25" s="54" t="s">
        <v>0</v>
      </c>
      <c r="CR25" s="54" t="s">
        <v>0</v>
      </c>
      <c r="CS25" s="52">
        <v>9.91</v>
      </c>
      <c r="CT25" s="52">
        <v>2.01</v>
      </c>
      <c r="CU25" s="62" t="s">
        <v>0</v>
      </c>
      <c r="CV25" s="23">
        <v>90</v>
      </c>
      <c r="CW25" s="54" t="s">
        <v>0</v>
      </c>
      <c r="CX25" s="54" t="s">
        <v>0</v>
      </c>
      <c r="CY25" s="54" t="s">
        <v>0</v>
      </c>
      <c r="CZ25" s="54" t="s">
        <v>0</v>
      </c>
      <c r="DA25" s="52">
        <v>70.92</v>
      </c>
      <c r="DB25" s="52">
        <v>46.11</v>
      </c>
      <c r="DC25" s="52">
        <v>95.01</v>
      </c>
      <c r="DD25" s="23">
        <v>83.29</v>
      </c>
      <c r="DE25" s="54" t="s">
        <v>0</v>
      </c>
      <c r="DF25" s="54" t="s">
        <v>0</v>
      </c>
      <c r="DG25" s="54" t="s">
        <v>0</v>
      </c>
      <c r="DH25" s="52">
        <v>1</v>
      </c>
      <c r="DI25" s="52">
        <v>1</v>
      </c>
      <c r="DJ25" s="54" t="s">
        <v>0</v>
      </c>
      <c r="DK25" s="58" t="s">
        <v>0</v>
      </c>
      <c r="DL25" s="58">
        <v>51000</v>
      </c>
      <c r="DM25" s="58" t="e">
        <f t="shared" si="3"/>
        <v>#VALUE!</v>
      </c>
      <c r="DN25" s="58" t="s">
        <v>0</v>
      </c>
      <c r="DO25" s="58">
        <v>74</v>
      </c>
      <c r="DP25" s="58" t="e">
        <f t="shared" si="4"/>
        <v>#VALUE!</v>
      </c>
      <c r="DQ25" s="58">
        <v>1</v>
      </c>
    </row>
    <row r="26" s="35" customFormat="1" ht="17.6" spans="1:121">
      <c r="A26" s="67" t="s">
        <v>173</v>
      </c>
      <c r="B26" s="60" t="s">
        <v>191</v>
      </c>
      <c r="C26" s="51">
        <v>2</v>
      </c>
      <c r="D26" s="51">
        <v>1</v>
      </c>
      <c r="E26" s="51">
        <v>14</v>
      </c>
      <c r="F26" s="51">
        <v>208.1</v>
      </c>
      <c r="G26" s="51">
        <v>233.36</v>
      </c>
      <c r="H26" s="71">
        <v>83633</v>
      </c>
      <c r="I26" s="51">
        <v>45117</v>
      </c>
      <c r="J26" s="51">
        <v>146</v>
      </c>
      <c r="K26" s="71">
        <v>8230</v>
      </c>
      <c r="L26" s="40" t="s">
        <v>0</v>
      </c>
      <c r="M26" s="40" t="s">
        <v>0</v>
      </c>
      <c r="N26" s="52">
        <v>6.34</v>
      </c>
      <c r="O26" s="52">
        <v>4.4</v>
      </c>
      <c r="P26" s="71">
        <v>6.16</v>
      </c>
      <c r="Q26" s="71">
        <v>4.35</v>
      </c>
      <c r="R26" s="52">
        <v>283.08</v>
      </c>
      <c r="S26" s="71">
        <v>20.4</v>
      </c>
      <c r="T26" s="71">
        <v>14.52</v>
      </c>
      <c r="U26" s="71">
        <v>6.72</v>
      </c>
      <c r="V26" s="71">
        <v>9.13</v>
      </c>
      <c r="W26" s="52">
        <v>1833</v>
      </c>
      <c r="X26" s="40" t="s">
        <v>0</v>
      </c>
      <c r="Y26" s="52">
        <v>1406463</v>
      </c>
      <c r="Z26" s="52">
        <v>217.4</v>
      </c>
      <c r="AA26" s="71">
        <v>230068</v>
      </c>
      <c r="AB26" s="71">
        <v>63994</v>
      </c>
      <c r="AC26" s="71">
        <v>273288</v>
      </c>
      <c r="AD26" s="71">
        <v>76993</v>
      </c>
      <c r="AE26" s="40" t="s">
        <v>0</v>
      </c>
      <c r="AF26" s="40" t="s">
        <v>0</v>
      </c>
      <c r="AG26" s="52">
        <v>63.13</v>
      </c>
      <c r="AH26" s="52">
        <v>104.35</v>
      </c>
      <c r="AI26" s="23">
        <v>181.83</v>
      </c>
      <c r="AJ26" s="51">
        <v>160.14</v>
      </c>
      <c r="AK26" s="40" t="s">
        <v>0</v>
      </c>
      <c r="AL26" s="52">
        <v>64</v>
      </c>
      <c r="AM26" s="61">
        <v>9557</v>
      </c>
      <c r="AN26" s="61">
        <v>4321</v>
      </c>
      <c r="AO26" s="52">
        <v>88229</v>
      </c>
      <c r="AP26" s="40" t="s">
        <v>0</v>
      </c>
      <c r="AQ26" s="40" t="s">
        <v>0</v>
      </c>
      <c r="AR26" s="40" t="s">
        <v>0</v>
      </c>
      <c r="AS26" s="51">
        <v>2967</v>
      </c>
      <c r="AT26" s="40" t="s">
        <v>0</v>
      </c>
      <c r="AU26" s="23">
        <v>17</v>
      </c>
      <c r="AV26" s="23">
        <v>14</v>
      </c>
      <c r="AW26" s="23">
        <v>1</v>
      </c>
      <c r="AX26" s="23">
        <v>21</v>
      </c>
      <c r="AY26" s="54">
        <v>24</v>
      </c>
      <c r="AZ26" s="52">
        <v>73625</v>
      </c>
      <c r="BA26" s="52">
        <v>121196</v>
      </c>
      <c r="BB26" s="61">
        <v>166</v>
      </c>
      <c r="BC26" s="61">
        <v>65</v>
      </c>
      <c r="BD26" s="23">
        <v>118.3</v>
      </c>
      <c r="BE26" s="23">
        <v>0.1</v>
      </c>
      <c r="BF26" s="53">
        <v>18.6</v>
      </c>
      <c r="BG26" s="23">
        <v>11.3</v>
      </c>
      <c r="BH26" s="54">
        <v>-44.3</v>
      </c>
      <c r="BI26" s="23">
        <v>7.4</v>
      </c>
      <c r="BJ26" s="54">
        <v>466.8</v>
      </c>
      <c r="BK26" s="53">
        <v>3</v>
      </c>
      <c r="BL26" s="52">
        <v>99.09</v>
      </c>
      <c r="BM26" s="51">
        <v>2.31</v>
      </c>
      <c r="BN26" s="51">
        <v>4.89</v>
      </c>
      <c r="BO26" s="56">
        <v>47.1347678369196</v>
      </c>
      <c r="BP26" s="69">
        <v>8.20348304307974</v>
      </c>
      <c r="BQ26" s="69">
        <v>11.8706874520828</v>
      </c>
      <c r="BR26" s="53">
        <v>101.7</v>
      </c>
      <c r="BS26" s="23">
        <v>88.9</v>
      </c>
      <c r="BT26" s="23">
        <v>0.1014</v>
      </c>
      <c r="BU26" s="54" t="s">
        <v>0</v>
      </c>
      <c r="BV26" s="54" t="s">
        <v>0</v>
      </c>
      <c r="BW26" s="54" t="s">
        <v>0</v>
      </c>
      <c r="BX26" s="54" t="s">
        <v>0</v>
      </c>
      <c r="BY26" s="54" t="s">
        <v>0</v>
      </c>
      <c r="BZ26" s="54" t="s">
        <v>0</v>
      </c>
      <c r="CA26" s="61">
        <v>11</v>
      </c>
      <c r="CB26" s="61">
        <v>1</v>
      </c>
      <c r="CC26" s="54" t="s">
        <v>0</v>
      </c>
      <c r="CD26" s="61">
        <v>105.93</v>
      </c>
      <c r="CE26" s="23">
        <v>11.07</v>
      </c>
      <c r="CF26" s="61">
        <v>89.7</v>
      </c>
      <c r="CG26" s="52">
        <v>941</v>
      </c>
      <c r="CH26" s="55">
        <f t="shared" si="0"/>
        <v>21.6486204865673</v>
      </c>
      <c r="CI26" s="55">
        <f t="shared" si="1"/>
        <v>9.78797626058986</v>
      </c>
      <c r="CJ26" s="61">
        <v>19038</v>
      </c>
      <c r="CK26" s="61">
        <v>18087</v>
      </c>
      <c r="CL26" s="54" t="s">
        <v>0</v>
      </c>
      <c r="CM26" s="54" t="s">
        <v>0</v>
      </c>
      <c r="CN26" s="61">
        <v>11089</v>
      </c>
      <c r="CO26" s="53">
        <v>5.19</v>
      </c>
      <c r="CP26" s="56">
        <f t="shared" ref="CP26:CP29" si="11">AI26/G26*100</f>
        <v>77.9182379156668</v>
      </c>
      <c r="CQ26" s="53" t="s">
        <v>192</v>
      </c>
      <c r="CR26" s="54" t="s">
        <v>0</v>
      </c>
      <c r="CS26" s="52">
        <v>7.89</v>
      </c>
      <c r="CT26" s="52">
        <v>3.56</v>
      </c>
      <c r="CU26" s="62" t="s">
        <v>0</v>
      </c>
      <c r="CV26" s="54" t="s">
        <v>0</v>
      </c>
      <c r="CW26" s="53">
        <v>99.3</v>
      </c>
      <c r="CX26" s="23">
        <v>31.3</v>
      </c>
      <c r="CY26" s="54" t="s">
        <v>0</v>
      </c>
      <c r="CZ26" s="54" t="s">
        <v>0</v>
      </c>
      <c r="DA26" s="52">
        <v>71.68</v>
      </c>
      <c r="DB26" s="52">
        <v>76.14</v>
      </c>
      <c r="DC26" s="52">
        <v>82.65</v>
      </c>
      <c r="DD26" s="23">
        <v>65.75</v>
      </c>
      <c r="DE26" s="52">
        <v>52</v>
      </c>
      <c r="DF26" s="54" t="s">
        <v>0</v>
      </c>
      <c r="DG26" s="54" t="s">
        <v>0</v>
      </c>
      <c r="DH26" s="52">
        <v>72</v>
      </c>
      <c r="DI26" s="52">
        <v>72</v>
      </c>
      <c r="DJ26" s="54" t="s">
        <v>0</v>
      </c>
      <c r="DK26" s="58">
        <v>85790</v>
      </c>
      <c r="DL26" s="58">
        <v>110450</v>
      </c>
      <c r="DM26" s="58">
        <f t="shared" si="3"/>
        <v>28.7446089287796</v>
      </c>
      <c r="DN26" s="58">
        <v>137</v>
      </c>
      <c r="DO26" s="58">
        <v>298</v>
      </c>
      <c r="DP26" s="58">
        <f t="shared" si="4"/>
        <v>117.518248175182</v>
      </c>
      <c r="DQ26" s="58">
        <v>22</v>
      </c>
    </row>
    <row r="27" s="35" customFormat="1" ht="17.6" spans="1:121">
      <c r="A27" s="67" t="s">
        <v>173</v>
      </c>
      <c r="B27" s="60" t="s">
        <v>193</v>
      </c>
      <c r="C27" s="51">
        <v>2</v>
      </c>
      <c r="D27" s="51">
        <v>1</v>
      </c>
      <c r="E27" s="51">
        <v>10</v>
      </c>
      <c r="F27" s="51">
        <v>170.35</v>
      </c>
      <c r="G27" s="51">
        <v>210.97</v>
      </c>
      <c r="H27" s="40" t="s">
        <v>0</v>
      </c>
      <c r="I27" s="51">
        <v>30310</v>
      </c>
      <c r="J27" s="51">
        <v>57</v>
      </c>
      <c r="K27" s="40" t="s">
        <v>0</v>
      </c>
      <c r="L27" s="40" t="s">
        <v>0</v>
      </c>
      <c r="M27" s="40" t="s">
        <v>0</v>
      </c>
      <c r="N27" s="52">
        <v>0.54</v>
      </c>
      <c r="O27" s="52">
        <v>6.16</v>
      </c>
      <c r="P27" s="40" t="s">
        <v>0</v>
      </c>
      <c r="Q27" s="40" t="s">
        <v>0</v>
      </c>
      <c r="R27" s="52">
        <v>263.81</v>
      </c>
      <c r="S27" s="40" t="s">
        <v>0</v>
      </c>
      <c r="T27" s="40" t="s">
        <v>0</v>
      </c>
      <c r="U27" s="40" t="s">
        <v>0</v>
      </c>
      <c r="V27" s="40" t="s">
        <v>0</v>
      </c>
      <c r="W27" s="52">
        <v>844</v>
      </c>
      <c r="X27" s="40" t="s">
        <v>0</v>
      </c>
      <c r="Y27" s="52">
        <v>1751703</v>
      </c>
      <c r="Z27" s="52">
        <v>37.48</v>
      </c>
      <c r="AA27" s="40" t="s">
        <v>0</v>
      </c>
      <c r="AB27" s="40" t="s">
        <v>0</v>
      </c>
      <c r="AC27" s="40" t="s">
        <v>0</v>
      </c>
      <c r="AD27" s="40" t="s">
        <v>0</v>
      </c>
      <c r="AE27" s="40" t="s">
        <v>0</v>
      </c>
      <c r="AF27" s="40" t="s">
        <v>0</v>
      </c>
      <c r="AG27" s="52">
        <v>15.97</v>
      </c>
      <c r="AH27" s="52">
        <v>82.33</v>
      </c>
      <c r="AI27" s="40" t="s">
        <v>0</v>
      </c>
      <c r="AJ27" s="51">
        <v>148.18</v>
      </c>
      <c r="AK27" s="23">
        <v>32.9</v>
      </c>
      <c r="AL27" s="52">
        <v>50</v>
      </c>
      <c r="AM27" s="40" t="s">
        <v>0</v>
      </c>
      <c r="AN27" s="40" t="s">
        <v>0</v>
      </c>
      <c r="AO27" s="52">
        <v>105625</v>
      </c>
      <c r="AP27" s="40" t="s">
        <v>0</v>
      </c>
      <c r="AQ27" s="40" t="s">
        <v>0</v>
      </c>
      <c r="AR27" s="40" t="s">
        <v>0</v>
      </c>
      <c r="AS27" s="51">
        <v>3124</v>
      </c>
      <c r="AT27" s="40" t="s">
        <v>0</v>
      </c>
      <c r="AU27" s="23">
        <v>13</v>
      </c>
      <c r="AV27" s="40" t="s">
        <v>0</v>
      </c>
      <c r="AW27" s="23">
        <v>1</v>
      </c>
      <c r="AX27" s="23">
        <v>11</v>
      </c>
      <c r="AY27" s="23">
        <v>13</v>
      </c>
      <c r="AZ27" s="52">
        <v>107018</v>
      </c>
      <c r="BA27" s="52">
        <v>308528</v>
      </c>
      <c r="BB27" s="40" t="s">
        <v>0</v>
      </c>
      <c r="BC27" s="40" t="s">
        <v>0</v>
      </c>
      <c r="BD27" s="23">
        <v>130.6</v>
      </c>
      <c r="BE27" s="23">
        <v>-20.4</v>
      </c>
      <c r="BF27" s="53">
        <v>16.5</v>
      </c>
      <c r="BG27" s="53">
        <v>9.5</v>
      </c>
      <c r="BH27" s="54">
        <v>-25</v>
      </c>
      <c r="BI27" s="23">
        <v>-86.66</v>
      </c>
      <c r="BJ27" s="54" t="s">
        <v>0</v>
      </c>
      <c r="BK27" s="54">
        <v>-5.6</v>
      </c>
      <c r="BL27" s="52">
        <v>81.21</v>
      </c>
      <c r="BM27" s="51">
        <v>1.67</v>
      </c>
      <c r="BN27" s="51">
        <v>2.28</v>
      </c>
      <c r="BO27" s="56">
        <v>44.6745497731131</v>
      </c>
      <c r="BP27" s="69">
        <v>7.3981504623844</v>
      </c>
      <c r="BQ27" s="69">
        <v>10</v>
      </c>
      <c r="BR27" s="53">
        <v>101.7</v>
      </c>
      <c r="BS27" s="23">
        <v>87.5</v>
      </c>
      <c r="BT27" s="65">
        <v>0.0690064577332722</v>
      </c>
      <c r="BU27" s="54" t="s">
        <v>0</v>
      </c>
      <c r="BV27" s="54" t="s">
        <v>0</v>
      </c>
      <c r="BW27" s="54" t="s">
        <v>0</v>
      </c>
      <c r="BX27" s="54" t="s">
        <v>0</v>
      </c>
      <c r="BY27" s="54" t="s">
        <v>0</v>
      </c>
      <c r="BZ27" s="54" t="s">
        <v>0</v>
      </c>
      <c r="CA27" s="54" t="s">
        <v>0</v>
      </c>
      <c r="CB27" s="54" t="s">
        <v>0</v>
      </c>
      <c r="CC27" s="54" t="s">
        <v>0</v>
      </c>
      <c r="CD27" s="54" t="s">
        <v>0</v>
      </c>
      <c r="CE27" s="23">
        <v>11.47</v>
      </c>
      <c r="CF27" s="54" t="s">
        <v>0</v>
      </c>
      <c r="CG27" s="52">
        <v>959</v>
      </c>
      <c r="CH27" s="55" t="e">
        <f t="shared" si="0"/>
        <v>#VALUE!</v>
      </c>
      <c r="CI27" s="55" t="e">
        <f t="shared" si="1"/>
        <v>#VALUE!</v>
      </c>
      <c r="CJ27" s="54" t="s">
        <v>0</v>
      </c>
      <c r="CK27" s="54" t="s">
        <v>0</v>
      </c>
      <c r="CL27" s="54" t="s">
        <v>0</v>
      </c>
      <c r="CM27" s="54" t="s">
        <v>0</v>
      </c>
      <c r="CN27" s="54" t="s">
        <v>0</v>
      </c>
      <c r="CO27" s="23">
        <v>3.66</v>
      </c>
      <c r="CP27" s="56" t="s">
        <v>0</v>
      </c>
      <c r="CQ27" s="53" t="s">
        <v>194</v>
      </c>
      <c r="CR27" s="54" t="s">
        <v>0</v>
      </c>
      <c r="CS27" s="52">
        <v>10.99</v>
      </c>
      <c r="CT27" s="52">
        <v>4.18</v>
      </c>
      <c r="CU27" s="62">
        <f>AK27/AJ27*100</f>
        <v>22.202726413821</v>
      </c>
      <c r="CV27" s="54" t="s">
        <v>0</v>
      </c>
      <c r="CW27" s="54" t="s">
        <v>0</v>
      </c>
      <c r="CX27" s="54" t="s">
        <v>0</v>
      </c>
      <c r="CY27" s="53">
        <f>45.4*666.7</f>
        <v>30268.18</v>
      </c>
      <c r="CZ27" s="54" t="s">
        <v>0</v>
      </c>
      <c r="DA27" s="52">
        <v>81.83</v>
      </c>
      <c r="DB27" s="52">
        <v>78.33</v>
      </c>
      <c r="DC27" s="52">
        <v>82.28</v>
      </c>
      <c r="DD27" s="23">
        <v>72.88</v>
      </c>
      <c r="DE27" s="54" t="s">
        <v>0</v>
      </c>
      <c r="DF27" s="54" t="s">
        <v>0</v>
      </c>
      <c r="DG27" s="54" t="s">
        <v>0</v>
      </c>
      <c r="DH27" s="52">
        <v>0</v>
      </c>
      <c r="DI27" s="52">
        <v>0</v>
      </c>
      <c r="DJ27" s="54" t="s">
        <v>0</v>
      </c>
      <c r="DK27" s="58">
        <v>26000</v>
      </c>
      <c r="DL27" s="58">
        <v>23656</v>
      </c>
      <c r="DM27" s="58">
        <f t="shared" si="3"/>
        <v>-9.01538461538462</v>
      </c>
      <c r="DN27" s="58">
        <v>11</v>
      </c>
      <c r="DO27" s="58">
        <v>850</v>
      </c>
      <c r="DP27" s="58">
        <f t="shared" si="4"/>
        <v>7627.27272727273</v>
      </c>
      <c r="DQ27" s="58">
        <v>0</v>
      </c>
    </row>
    <row r="28" s="36" customFormat="1" ht="17.6" spans="1:121">
      <c r="A28" s="67" t="s">
        <v>195</v>
      </c>
      <c r="B28" s="60" t="s">
        <v>196</v>
      </c>
      <c r="C28" s="72">
        <v>0</v>
      </c>
      <c r="D28" s="72">
        <v>4</v>
      </c>
      <c r="E28" s="72">
        <v>5</v>
      </c>
      <c r="F28" s="72">
        <v>119.44</v>
      </c>
      <c r="G28" s="73">
        <v>183.62</v>
      </c>
      <c r="H28" s="72">
        <v>154384</v>
      </c>
      <c r="I28" s="40" t="s">
        <v>0</v>
      </c>
      <c r="J28" s="40">
        <v>132</v>
      </c>
      <c r="K28" s="72">
        <v>42016</v>
      </c>
      <c r="L28" s="40" t="s">
        <v>0</v>
      </c>
      <c r="M28" s="40" t="s">
        <v>0</v>
      </c>
      <c r="N28" s="52">
        <v>0.04</v>
      </c>
      <c r="O28" s="52">
        <v>5.64</v>
      </c>
      <c r="P28" s="40">
        <v>0.04</v>
      </c>
      <c r="Q28" s="40">
        <v>5.61</v>
      </c>
      <c r="R28" s="74">
        <v>310.9084</v>
      </c>
      <c r="S28" s="74">
        <v>21.7956</v>
      </c>
      <c r="T28" s="75">
        <v>15.4071</v>
      </c>
      <c r="U28" s="75">
        <v>8.1507</v>
      </c>
      <c r="V28" s="74">
        <v>10.1503</v>
      </c>
      <c r="W28" s="52">
        <v>8216</v>
      </c>
      <c r="X28" s="40">
        <v>1119</v>
      </c>
      <c r="Y28" s="74">
        <v>2170163</v>
      </c>
      <c r="Z28" s="74">
        <v>176.9</v>
      </c>
      <c r="AA28" s="40">
        <v>241814</v>
      </c>
      <c r="AB28" s="40">
        <v>43446</v>
      </c>
      <c r="AC28" s="40">
        <v>278337</v>
      </c>
      <c r="AD28" s="40">
        <v>50793</v>
      </c>
      <c r="AE28" s="40" t="s">
        <v>0</v>
      </c>
      <c r="AF28" s="40" t="s">
        <v>0</v>
      </c>
      <c r="AG28" s="52">
        <v>39.451</v>
      </c>
      <c r="AH28" s="52">
        <v>112.2558</v>
      </c>
      <c r="AI28" s="40">
        <v>65.43</v>
      </c>
      <c r="AJ28" s="40">
        <v>92.17</v>
      </c>
      <c r="AK28" s="40">
        <v>45.04</v>
      </c>
      <c r="AL28" s="40">
        <v>45.03</v>
      </c>
      <c r="AM28" s="40">
        <v>16098</v>
      </c>
      <c r="AN28" s="76">
        <v>7984.61</v>
      </c>
      <c r="AO28" s="52">
        <v>91360</v>
      </c>
      <c r="AP28" s="77">
        <v>3.0799</v>
      </c>
      <c r="AQ28" s="73">
        <v>0.11</v>
      </c>
      <c r="AR28" s="40">
        <v>921</v>
      </c>
      <c r="AS28" s="74">
        <v>993</v>
      </c>
      <c r="AT28" s="40">
        <v>1945</v>
      </c>
      <c r="AU28" s="74">
        <v>9</v>
      </c>
      <c r="AV28" s="74">
        <v>4</v>
      </c>
      <c r="AW28" s="40">
        <v>2</v>
      </c>
      <c r="AX28" s="74">
        <v>4</v>
      </c>
      <c r="AY28" s="40">
        <v>7</v>
      </c>
      <c r="AZ28" s="52">
        <v>42203</v>
      </c>
      <c r="BA28" s="52">
        <v>74423</v>
      </c>
      <c r="BB28" s="61">
        <v>118</v>
      </c>
      <c r="BC28" s="61">
        <v>59</v>
      </c>
      <c r="BD28" s="52">
        <v>211.54</v>
      </c>
      <c r="BE28" s="52">
        <v>16.22</v>
      </c>
      <c r="BF28" s="54">
        <v>15.8</v>
      </c>
      <c r="BG28" s="54">
        <v>10</v>
      </c>
      <c r="BH28" s="54">
        <v>37.5</v>
      </c>
      <c r="BI28" s="54" t="s">
        <v>0</v>
      </c>
      <c r="BJ28" s="54" t="s">
        <v>0</v>
      </c>
      <c r="BK28" s="54">
        <v>10</v>
      </c>
      <c r="BL28" s="52">
        <v>100.9</v>
      </c>
      <c r="BM28" s="54">
        <v>0.56</v>
      </c>
      <c r="BN28" s="74">
        <v>1.65</v>
      </c>
      <c r="BO28" s="54">
        <v>66.9</v>
      </c>
      <c r="BP28" s="54">
        <v>8.5</v>
      </c>
      <c r="BQ28" s="54">
        <v>10</v>
      </c>
      <c r="BR28" s="55">
        <v>101.2</v>
      </c>
      <c r="BS28" s="54" t="s">
        <v>0</v>
      </c>
      <c r="BT28" s="78">
        <v>0.02038665537914</v>
      </c>
      <c r="BU28" s="54" t="s">
        <v>0</v>
      </c>
      <c r="BV28" s="54">
        <v>94</v>
      </c>
      <c r="BW28" s="54">
        <v>97.4</v>
      </c>
      <c r="BX28" s="54" t="s">
        <v>0</v>
      </c>
      <c r="BY28" s="54" t="s">
        <v>0</v>
      </c>
      <c r="BZ28" s="54">
        <v>653</v>
      </c>
      <c r="CA28" s="54" t="s">
        <v>0</v>
      </c>
      <c r="CB28" s="54" t="s">
        <v>0</v>
      </c>
      <c r="CC28" s="79">
        <v>98.7</v>
      </c>
      <c r="CD28" s="79">
        <v>106.82</v>
      </c>
      <c r="CE28" s="54">
        <v>9.4</v>
      </c>
      <c r="CF28" s="54">
        <v>95.3</v>
      </c>
      <c r="CG28" s="52">
        <v>974</v>
      </c>
      <c r="CH28" s="54" t="s">
        <v>0</v>
      </c>
      <c r="CI28" s="54" t="s">
        <v>0</v>
      </c>
      <c r="CJ28" s="80">
        <v>2526</v>
      </c>
      <c r="CK28" s="54">
        <v>2528</v>
      </c>
      <c r="CL28" s="54">
        <v>1923</v>
      </c>
      <c r="CM28" s="77">
        <v>7</v>
      </c>
      <c r="CN28" s="54">
        <v>20431</v>
      </c>
      <c r="CO28" s="54">
        <v>4.1</v>
      </c>
      <c r="CP28" s="56">
        <f t="shared" si="11"/>
        <v>35.6333732708855</v>
      </c>
      <c r="CQ28" s="54" t="s">
        <v>0</v>
      </c>
      <c r="CR28" s="62">
        <f t="shared" ref="CR28:CR36" si="12">AR28/AS28*100</f>
        <v>92.7492447129909</v>
      </c>
      <c r="CS28" s="52">
        <v>17.57</v>
      </c>
      <c r="CT28" s="52">
        <v>20.68</v>
      </c>
      <c r="CU28" s="62">
        <f>AK28/AJ28*100</f>
        <v>48.8662254529673</v>
      </c>
      <c r="CV28" s="54" t="s">
        <v>0</v>
      </c>
      <c r="CW28" s="54">
        <v>98.83</v>
      </c>
      <c r="CX28" s="54" t="s">
        <v>0</v>
      </c>
      <c r="CY28" s="55">
        <v>30193.33</v>
      </c>
      <c r="CZ28" s="54" t="s">
        <v>0</v>
      </c>
      <c r="DA28" s="52">
        <v>39.64</v>
      </c>
      <c r="DB28" s="52">
        <v>98.74</v>
      </c>
      <c r="DC28" s="52">
        <v>81.02</v>
      </c>
      <c r="DD28" s="79">
        <v>66.3</v>
      </c>
      <c r="DE28" s="54">
        <v>54.2</v>
      </c>
      <c r="DF28" s="54">
        <v>277</v>
      </c>
      <c r="DG28" s="54">
        <f>23/35*100</f>
        <v>65.7142857142857</v>
      </c>
      <c r="DH28" s="54">
        <v>50</v>
      </c>
      <c r="DI28" s="54">
        <v>286</v>
      </c>
      <c r="DJ28" s="54">
        <v>14</v>
      </c>
      <c r="DK28" s="81">
        <v>48386</v>
      </c>
      <c r="DL28" s="81">
        <v>86909</v>
      </c>
      <c r="DM28" s="81">
        <v>79.6160046294383</v>
      </c>
      <c r="DN28" s="82">
        <v>482</v>
      </c>
      <c r="DO28" s="81">
        <v>290</v>
      </c>
      <c r="DP28" s="81">
        <f t="shared" ref="DP28:DP39" si="13">(DO28-DN28)/DN28*100</f>
        <v>-39.8340248962656</v>
      </c>
      <c r="DQ28" s="81">
        <v>7</v>
      </c>
    </row>
    <row r="29" s="36" customFormat="1" ht="18" spans="1:121">
      <c r="A29" s="67" t="s">
        <v>195</v>
      </c>
      <c r="B29" s="60" t="s">
        <v>197</v>
      </c>
      <c r="C29" s="74">
        <v>0</v>
      </c>
      <c r="D29" s="74">
        <v>6</v>
      </c>
      <c r="E29" s="74">
        <v>3</v>
      </c>
      <c r="F29" s="72">
        <v>138.69</v>
      </c>
      <c r="G29" s="73">
        <v>141.23</v>
      </c>
      <c r="H29" s="72">
        <v>122738</v>
      </c>
      <c r="I29" s="40" t="s">
        <v>0</v>
      </c>
      <c r="J29" s="40">
        <v>304</v>
      </c>
      <c r="K29" s="72">
        <v>32035</v>
      </c>
      <c r="L29" s="40" t="s">
        <v>0</v>
      </c>
      <c r="M29" s="40" t="s">
        <v>0</v>
      </c>
      <c r="N29" s="52">
        <v>0.7342</v>
      </c>
      <c r="O29" s="52">
        <v>15.147</v>
      </c>
      <c r="P29" s="40">
        <v>0.71</v>
      </c>
      <c r="Q29" s="40">
        <v>14.57</v>
      </c>
      <c r="R29" s="74">
        <v>354.6074</v>
      </c>
      <c r="S29" s="74">
        <v>26.3855</v>
      </c>
      <c r="T29" s="75">
        <v>14.4959</v>
      </c>
      <c r="U29" s="75">
        <v>6.4225</v>
      </c>
      <c r="V29" s="74">
        <v>11.3497</v>
      </c>
      <c r="W29" s="52">
        <v>7841</v>
      </c>
      <c r="X29" s="40">
        <v>1141</v>
      </c>
      <c r="Y29" s="74">
        <v>2198848</v>
      </c>
      <c r="Z29" s="74">
        <v>155.78</v>
      </c>
      <c r="AA29" s="40">
        <v>167493</v>
      </c>
      <c r="AB29" s="40">
        <v>28756</v>
      </c>
      <c r="AC29" s="40">
        <v>189472</v>
      </c>
      <c r="AD29" s="40">
        <v>31916</v>
      </c>
      <c r="AE29" s="40" t="s">
        <v>0</v>
      </c>
      <c r="AF29" s="40" t="s">
        <v>0</v>
      </c>
      <c r="AG29" s="52">
        <v>87.813</v>
      </c>
      <c r="AH29" s="52">
        <v>132.8402</v>
      </c>
      <c r="AI29" s="40">
        <v>42.1</v>
      </c>
      <c r="AJ29" s="40">
        <v>86.13</v>
      </c>
      <c r="AK29" s="40" t="s">
        <v>0</v>
      </c>
      <c r="AL29" s="40">
        <v>228.8</v>
      </c>
      <c r="AM29" s="61">
        <v>16751</v>
      </c>
      <c r="AN29" s="61">
        <v>9343</v>
      </c>
      <c r="AO29" s="52">
        <v>189430</v>
      </c>
      <c r="AP29" s="77">
        <v>0.081</v>
      </c>
      <c r="AQ29" s="73">
        <v>0</v>
      </c>
      <c r="AR29" s="40">
        <v>632</v>
      </c>
      <c r="AS29" s="74">
        <v>638</v>
      </c>
      <c r="AT29" s="40">
        <v>961</v>
      </c>
      <c r="AU29" s="74">
        <v>10</v>
      </c>
      <c r="AV29" s="74">
        <v>3</v>
      </c>
      <c r="AW29" s="76">
        <v>1</v>
      </c>
      <c r="AX29" s="74">
        <v>5</v>
      </c>
      <c r="AY29" s="52" t="s">
        <v>0</v>
      </c>
      <c r="AZ29" s="52">
        <v>50463</v>
      </c>
      <c r="BA29" s="52">
        <v>33143</v>
      </c>
      <c r="BB29" s="61">
        <v>150</v>
      </c>
      <c r="BC29" s="61" t="s">
        <v>0</v>
      </c>
      <c r="BD29" s="52">
        <v>234.3</v>
      </c>
      <c r="BE29" s="52">
        <v>8.9</v>
      </c>
      <c r="BF29" s="54">
        <v>15</v>
      </c>
      <c r="BG29" s="54">
        <v>10</v>
      </c>
      <c r="BH29" s="54">
        <v>-14.2</v>
      </c>
      <c r="BI29" s="54">
        <v>-20.1</v>
      </c>
      <c r="BJ29" s="54">
        <v>1141.4</v>
      </c>
      <c r="BK29" s="54">
        <v>11.1</v>
      </c>
      <c r="BL29" s="52">
        <v>92.6</v>
      </c>
      <c r="BM29" s="54">
        <v>1.14</v>
      </c>
      <c r="BN29" s="74">
        <v>4.55</v>
      </c>
      <c r="BO29" s="54">
        <v>82.3</v>
      </c>
      <c r="BP29" s="54">
        <v>8.6</v>
      </c>
      <c r="BQ29" s="54">
        <v>10.1</v>
      </c>
      <c r="BR29" s="55">
        <v>101.8</v>
      </c>
      <c r="BS29" s="54">
        <v>97.3</v>
      </c>
      <c r="BT29" s="78">
        <v>0.0154002271533505</v>
      </c>
      <c r="BU29" s="54" t="s">
        <v>0</v>
      </c>
      <c r="BV29" s="54">
        <v>91.4</v>
      </c>
      <c r="BW29" s="54">
        <v>99.1</v>
      </c>
      <c r="BX29" s="54" t="s">
        <v>0</v>
      </c>
      <c r="BY29" s="54" t="s">
        <v>0</v>
      </c>
      <c r="BZ29" s="54">
        <v>3124</v>
      </c>
      <c r="CA29" s="54">
        <v>20</v>
      </c>
      <c r="CB29" s="54" t="s">
        <v>0</v>
      </c>
      <c r="CC29" s="54" t="s">
        <v>0</v>
      </c>
      <c r="CD29" s="54" t="s">
        <v>0</v>
      </c>
      <c r="CE29" s="54">
        <v>10.98</v>
      </c>
      <c r="CF29" s="54" t="s">
        <v>0</v>
      </c>
      <c r="CG29" s="52">
        <v>1258</v>
      </c>
      <c r="CH29" s="54" t="s">
        <v>0</v>
      </c>
      <c r="CI29" s="54" t="s">
        <v>0</v>
      </c>
      <c r="CJ29" s="54">
        <v>17558</v>
      </c>
      <c r="CK29" s="54" t="s">
        <v>0</v>
      </c>
      <c r="CL29" s="54" t="s">
        <v>0</v>
      </c>
      <c r="CM29" s="77">
        <v>3</v>
      </c>
      <c r="CN29" s="54">
        <v>69272</v>
      </c>
      <c r="CO29" s="54">
        <v>4.1</v>
      </c>
      <c r="CP29" s="56">
        <f t="shared" si="11"/>
        <v>29.8095305529987</v>
      </c>
      <c r="CQ29" s="54" t="s">
        <v>0</v>
      </c>
      <c r="CR29" s="79">
        <v>98</v>
      </c>
      <c r="CS29" s="52">
        <v>18.16</v>
      </c>
      <c r="CT29" s="52">
        <v>8.87</v>
      </c>
      <c r="CU29" s="62" t="s">
        <v>0</v>
      </c>
      <c r="CV29" s="54" t="s">
        <v>0</v>
      </c>
      <c r="CW29" s="54" t="s">
        <v>0</v>
      </c>
      <c r="CX29" s="79">
        <v>16.9</v>
      </c>
      <c r="CY29" s="54" t="s">
        <v>0</v>
      </c>
      <c r="CZ29" s="54" t="s">
        <v>0</v>
      </c>
      <c r="DA29" s="52">
        <v>66.13</v>
      </c>
      <c r="DB29" s="52">
        <v>95.46</v>
      </c>
      <c r="DC29" s="52">
        <v>85.37</v>
      </c>
      <c r="DD29" s="54" t="s">
        <v>0</v>
      </c>
      <c r="DE29" s="54" t="s">
        <v>0</v>
      </c>
      <c r="DF29" s="54">
        <v>158</v>
      </c>
      <c r="DG29" s="54">
        <f>10/15*100</f>
        <v>66.6666666666667</v>
      </c>
      <c r="DH29" s="54">
        <v>15</v>
      </c>
      <c r="DI29" s="54">
        <v>182</v>
      </c>
      <c r="DJ29" s="54">
        <v>15</v>
      </c>
      <c r="DK29" s="81" t="s">
        <v>0</v>
      </c>
      <c r="DL29" s="83" t="s">
        <v>0</v>
      </c>
      <c r="DM29" s="83" t="s">
        <v>0</v>
      </c>
      <c r="DN29" s="81">
        <v>11</v>
      </c>
      <c r="DO29" s="81">
        <v>17</v>
      </c>
      <c r="DP29" s="81">
        <f t="shared" si="13"/>
        <v>54.5454545454545</v>
      </c>
      <c r="DQ29" s="81">
        <v>5</v>
      </c>
    </row>
    <row r="30" s="37" customFormat="1" ht="17.6" spans="1:121">
      <c r="A30" s="67" t="s">
        <v>195</v>
      </c>
      <c r="B30" s="60" t="s">
        <v>198</v>
      </c>
      <c r="C30" s="84">
        <v>5</v>
      </c>
      <c r="D30" s="84">
        <v>2</v>
      </c>
      <c r="E30" s="84">
        <v>7</v>
      </c>
      <c r="F30" s="85">
        <v>177.72</v>
      </c>
      <c r="G30" s="86">
        <v>75.23</v>
      </c>
      <c r="H30" s="85">
        <v>165405</v>
      </c>
      <c r="I30" s="79">
        <v>3737</v>
      </c>
      <c r="J30" s="87" t="s">
        <v>0</v>
      </c>
      <c r="K30" s="85">
        <v>14220</v>
      </c>
      <c r="L30" s="87" t="s">
        <v>0</v>
      </c>
      <c r="M30" s="87" t="s">
        <v>0</v>
      </c>
      <c r="N30" s="88">
        <v>2.92</v>
      </c>
      <c r="O30" s="88">
        <v>3.04</v>
      </c>
      <c r="P30" s="87">
        <v>2.9015</v>
      </c>
      <c r="Q30" s="87">
        <v>2.9981</v>
      </c>
      <c r="R30" s="89">
        <v>348.51</v>
      </c>
      <c r="S30" s="89">
        <v>30.0504</v>
      </c>
      <c r="T30" s="90">
        <v>14.8779</v>
      </c>
      <c r="U30" s="90">
        <v>5.9618</v>
      </c>
      <c r="V30" s="89">
        <v>11.014</v>
      </c>
      <c r="W30" s="88">
        <v>1057</v>
      </c>
      <c r="X30" s="79">
        <v>156</v>
      </c>
      <c r="Y30" s="89">
        <v>1648241</v>
      </c>
      <c r="Z30" s="89">
        <v>143.8</v>
      </c>
      <c r="AA30" s="87">
        <v>218029.8</v>
      </c>
      <c r="AB30" s="87">
        <v>37710</v>
      </c>
      <c r="AC30" s="87">
        <v>255502.4</v>
      </c>
      <c r="AD30" s="87">
        <v>44595</v>
      </c>
      <c r="AE30" s="87" t="s">
        <v>0</v>
      </c>
      <c r="AF30" s="87" t="s">
        <v>0</v>
      </c>
      <c r="AG30" s="88">
        <v>109.124</v>
      </c>
      <c r="AH30" s="88">
        <v>124.4681</v>
      </c>
      <c r="AI30" s="87" t="s">
        <v>0</v>
      </c>
      <c r="AJ30" s="88" t="s">
        <v>0</v>
      </c>
      <c r="AK30" s="87" t="s">
        <v>0</v>
      </c>
      <c r="AL30" s="79">
        <v>35.19</v>
      </c>
      <c r="AM30" s="79">
        <v>7851</v>
      </c>
      <c r="AN30" s="79">
        <v>4855</v>
      </c>
      <c r="AO30" s="88">
        <v>79905</v>
      </c>
      <c r="AP30" s="91">
        <v>0.1545</v>
      </c>
      <c r="AQ30" s="86">
        <v>0.01</v>
      </c>
      <c r="AR30" s="87" t="s">
        <v>0</v>
      </c>
      <c r="AS30" s="89">
        <v>786</v>
      </c>
      <c r="AT30" s="79">
        <v>2744</v>
      </c>
      <c r="AU30" s="89">
        <v>14</v>
      </c>
      <c r="AV30" s="89">
        <v>19</v>
      </c>
      <c r="AW30" s="79" t="s">
        <v>0</v>
      </c>
      <c r="AX30" s="89">
        <v>14</v>
      </c>
      <c r="AY30" s="88" t="s">
        <v>0</v>
      </c>
      <c r="AZ30" s="88">
        <v>157533</v>
      </c>
      <c r="BA30" s="88">
        <v>98888</v>
      </c>
      <c r="BB30" s="79">
        <v>136</v>
      </c>
      <c r="BC30" s="79">
        <v>54</v>
      </c>
      <c r="BD30" s="88">
        <v>96.03</v>
      </c>
      <c r="BE30" s="88">
        <v>10.2</v>
      </c>
      <c r="BF30" s="92">
        <v>16</v>
      </c>
      <c r="BG30" s="92">
        <v>11.5</v>
      </c>
      <c r="BH30" s="79">
        <v>54.1</v>
      </c>
      <c r="BI30" s="79">
        <v>-71.5</v>
      </c>
      <c r="BJ30" s="79">
        <v>10.8</v>
      </c>
      <c r="BK30" s="79">
        <v>12</v>
      </c>
      <c r="BL30" s="88">
        <v>106.31</v>
      </c>
      <c r="BM30" s="93">
        <v>1.0303</v>
      </c>
      <c r="BN30" s="89">
        <v>-2.1</v>
      </c>
      <c r="BO30" s="92">
        <v>70.26</v>
      </c>
      <c r="BP30" s="79">
        <v>9.6</v>
      </c>
      <c r="BQ30" s="79">
        <v>11.5</v>
      </c>
      <c r="BR30" s="79">
        <v>101.9</v>
      </c>
      <c r="BS30" s="94" t="s">
        <v>0</v>
      </c>
      <c r="BT30" s="95">
        <v>0.0755485034859722</v>
      </c>
      <c r="BU30" s="96">
        <v>0.0023972602739726</v>
      </c>
      <c r="BV30" s="79">
        <v>97.7</v>
      </c>
      <c r="BW30" s="79">
        <v>86.6</v>
      </c>
      <c r="BX30" s="94" t="s">
        <v>0</v>
      </c>
      <c r="BY30" s="94" t="s">
        <v>0</v>
      </c>
      <c r="BZ30" s="94" t="s">
        <v>0</v>
      </c>
      <c r="CA30" s="94" t="s">
        <v>0</v>
      </c>
      <c r="CB30" s="94" t="s">
        <v>0</v>
      </c>
      <c r="CC30" s="94" t="s">
        <v>0</v>
      </c>
      <c r="CD30" s="79">
        <v>106.78</v>
      </c>
      <c r="CE30" s="94">
        <v>7.98</v>
      </c>
      <c r="CF30" s="79">
        <v>93.98</v>
      </c>
      <c r="CG30" s="88">
        <v>954</v>
      </c>
      <c r="CH30" s="94" t="s">
        <v>0</v>
      </c>
      <c r="CI30" s="94" t="s">
        <v>0</v>
      </c>
      <c r="CJ30" s="79">
        <v>12863</v>
      </c>
      <c r="CK30" s="79">
        <v>12720</v>
      </c>
      <c r="CL30" s="79">
        <v>2328</v>
      </c>
      <c r="CM30" s="91">
        <v>19</v>
      </c>
      <c r="CN30" s="94" t="s">
        <v>0</v>
      </c>
      <c r="CO30" s="93">
        <v>3.4288</v>
      </c>
      <c r="CP30" s="56" t="s">
        <v>0</v>
      </c>
      <c r="CQ30" s="79">
        <v>8.4</v>
      </c>
      <c r="CR30" s="94" t="s">
        <v>0</v>
      </c>
      <c r="CS30" s="88">
        <v>19.77</v>
      </c>
      <c r="CT30" s="88">
        <v>13.75</v>
      </c>
      <c r="CU30" s="62" t="s">
        <v>0</v>
      </c>
      <c r="CV30" s="94" t="s">
        <v>0</v>
      </c>
      <c r="CW30" s="79">
        <v>101</v>
      </c>
      <c r="CX30" s="79">
        <v>49</v>
      </c>
      <c r="CY30" s="79">
        <v>41300</v>
      </c>
      <c r="CZ30" s="94" t="s">
        <v>0</v>
      </c>
      <c r="DA30" s="88">
        <v>49</v>
      </c>
      <c r="DB30" s="88">
        <v>93.36</v>
      </c>
      <c r="DC30" s="88">
        <v>90.23</v>
      </c>
      <c r="DD30" s="79">
        <v>100</v>
      </c>
      <c r="DE30" s="94" t="s">
        <v>0</v>
      </c>
      <c r="DF30" s="79">
        <v>363</v>
      </c>
      <c r="DG30" s="97">
        <v>18.421</v>
      </c>
      <c r="DH30" s="94" t="s">
        <v>0</v>
      </c>
      <c r="DI30" s="79">
        <v>90</v>
      </c>
      <c r="DJ30" s="79">
        <v>11</v>
      </c>
      <c r="DK30" s="98">
        <v>47719</v>
      </c>
      <c r="DL30" s="98">
        <v>48700</v>
      </c>
      <c r="DM30" s="98">
        <v>2.0557849074792</v>
      </c>
      <c r="DN30" s="98">
        <v>7</v>
      </c>
      <c r="DO30" s="98">
        <v>9</v>
      </c>
      <c r="DP30" s="98">
        <f t="shared" si="13"/>
        <v>28.5714285714286</v>
      </c>
      <c r="DQ30" s="98">
        <v>4</v>
      </c>
    </row>
    <row r="31" s="37" customFormat="1" ht="17.6" spans="1:121">
      <c r="A31" s="67" t="s">
        <v>195</v>
      </c>
      <c r="B31" s="60" t="s">
        <v>199</v>
      </c>
      <c r="C31" s="85">
        <v>2</v>
      </c>
      <c r="D31" s="85">
        <v>0</v>
      </c>
      <c r="E31" s="85">
        <v>4</v>
      </c>
      <c r="F31" s="79">
        <v>57</v>
      </c>
      <c r="G31" s="97">
        <v>110</v>
      </c>
      <c r="H31" s="85">
        <v>81992</v>
      </c>
      <c r="I31" s="87" t="s">
        <v>0</v>
      </c>
      <c r="J31" s="87" t="s">
        <v>0</v>
      </c>
      <c r="K31" s="85">
        <v>5143</v>
      </c>
      <c r="L31" s="87" t="s">
        <v>0</v>
      </c>
      <c r="M31" s="87" t="s">
        <v>0</v>
      </c>
      <c r="N31" s="87" t="s">
        <v>0</v>
      </c>
      <c r="O31" s="87" t="s">
        <v>0</v>
      </c>
      <c r="P31" s="87" t="s">
        <v>0</v>
      </c>
      <c r="Q31" s="87" t="s">
        <v>0</v>
      </c>
      <c r="R31" s="89">
        <v>178.6207</v>
      </c>
      <c r="S31" s="89">
        <v>14.9142</v>
      </c>
      <c r="T31" s="90">
        <v>7.6855</v>
      </c>
      <c r="U31" s="90">
        <v>3.4298</v>
      </c>
      <c r="V31" s="89">
        <v>4.2731</v>
      </c>
      <c r="W31" s="87" t="s">
        <v>0</v>
      </c>
      <c r="X31" s="79">
        <v>49</v>
      </c>
      <c r="Y31" s="89">
        <v>561429</v>
      </c>
      <c r="Z31" s="89">
        <v>85.95</v>
      </c>
      <c r="AA31" s="87" t="s">
        <v>0</v>
      </c>
      <c r="AB31" s="87" t="s">
        <v>0</v>
      </c>
      <c r="AC31" s="87" t="s">
        <v>0</v>
      </c>
      <c r="AD31" s="87" t="s">
        <v>0</v>
      </c>
      <c r="AE31" s="87" t="s">
        <v>0</v>
      </c>
      <c r="AF31" s="87" t="s">
        <v>0</v>
      </c>
      <c r="AG31" s="79">
        <v>21.15</v>
      </c>
      <c r="AH31" s="79">
        <v>59.45</v>
      </c>
      <c r="AI31" s="87" t="s">
        <v>0</v>
      </c>
      <c r="AJ31" s="87" t="s">
        <v>0</v>
      </c>
      <c r="AK31" s="87" t="s">
        <v>0</v>
      </c>
      <c r="AL31" s="79">
        <v>14.7</v>
      </c>
      <c r="AM31" s="79">
        <v>5817</v>
      </c>
      <c r="AN31" s="79">
        <v>4905</v>
      </c>
      <c r="AO31" s="79">
        <v>18499</v>
      </c>
      <c r="AP31" s="91">
        <v>0.0531</v>
      </c>
      <c r="AQ31" s="86">
        <v>0.01</v>
      </c>
      <c r="AR31" s="87" t="s">
        <v>0</v>
      </c>
      <c r="AS31" s="89">
        <v>872</v>
      </c>
      <c r="AT31" s="79">
        <v>853</v>
      </c>
      <c r="AU31" s="89">
        <v>6</v>
      </c>
      <c r="AV31" s="89">
        <v>3</v>
      </c>
      <c r="AW31" s="79">
        <v>7</v>
      </c>
      <c r="AX31" s="89">
        <v>6</v>
      </c>
      <c r="AY31" s="87" t="s">
        <v>0</v>
      </c>
      <c r="AZ31" s="88">
        <v>53731</v>
      </c>
      <c r="BA31" s="88">
        <v>128977</v>
      </c>
      <c r="BB31" s="79">
        <v>71</v>
      </c>
      <c r="BC31" s="79">
        <v>21</v>
      </c>
      <c r="BD31" s="88">
        <v>21.9</v>
      </c>
      <c r="BE31" s="88">
        <v>16.8</v>
      </c>
      <c r="BF31" s="92">
        <v>21.5</v>
      </c>
      <c r="BG31" s="92">
        <v>12</v>
      </c>
      <c r="BH31" s="79">
        <v>2336.2</v>
      </c>
      <c r="BI31" s="79" t="s">
        <v>0</v>
      </c>
      <c r="BJ31" s="79">
        <v>131.1</v>
      </c>
      <c r="BK31" s="79">
        <v>11.7</v>
      </c>
      <c r="BL31" s="88">
        <v>99.83</v>
      </c>
      <c r="BM31" s="94" t="s">
        <v>0</v>
      </c>
      <c r="BN31" s="89">
        <v>-4.47</v>
      </c>
      <c r="BO31" s="92">
        <v>45.28</v>
      </c>
      <c r="BP31" s="79">
        <v>9.6</v>
      </c>
      <c r="BQ31" s="79">
        <v>14</v>
      </c>
      <c r="BR31" s="79">
        <v>100.7</v>
      </c>
      <c r="BS31" s="94" t="s">
        <v>0</v>
      </c>
      <c r="BT31" s="78">
        <v>0.0499446266096285</v>
      </c>
      <c r="BU31" s="94" t="s">
        <v>0</v>
      </c>
      <c r="BV31" s="94" t="s">
        <v>0</v>
      </c>
      <c r="BW31" s="79">
        <v>98.6</v>
      </c>
      <c r="BX31" s="94" t="s">
        <v>0</v>
      </c>
      <c r="BY31" s="79">
        <v>23</v>
      </c>
      <c r="BZ31" s="79">
        <v>416</v>
      </c>
      <c r="CA31" s="79">
        <v>6</v>
      </c>
      <c r="CB31" s="79">
        <v>22</v>
      </c>
      <c r="CC31" s="94" t="s">
        <v>0</v>
      </c>
      <c r="CD31" s="79">
        <v>104.05</v>
      </c>
      <c r="CE31" s="79">
        <v>11.04</v>
      </c>
      <c r="CF31" s="79">
        <v>92.85</v>
      </c>
      <c r="CG31" s="88">
        <v>770</v>
      </c>
      <c r="CH31" s="94" t="s">
        <v>0</v>
      </c>
      <c r="CI31" s="94" t="s">
        <v>0</v>
      </c>
      <c r="CJ31" s="79">
        <v>28198</v>
      </c>
      <c r="CK31" s="79">
        <v>27480</v>
      </c>
      <c r="CL31" s="79">
        <v>1469</v>
      </c>
      <c r="CM31" s="91">
        <v>2</v>
      </c>
      <c r="CN31" s="79">
        <v>7143</v>
      </c>
      <c r="CO31" s="79">
        <v>1.84</v>
      </c>
      <c r="CP31" s="56" t="s">
        <v>0</v>
      </c>
      <c r="CQ31" s="79" t="s">
        <v>0</v>
      </c>
      <c r="CR31" s="94" t="s">
        <v>0</v>
      </c>
      <c r="CS31" s="94" t="s">
        <v>0</v>
      </c>
      <c r="CT31" s="94" t="s">
        <v>0</v>
      </c>
      <c r="CU31" s="62" t="s">
        <v>0</v>
      </c>
      <c r="CV31" s="94" t="s">
        <v>0</v>
      </c>
      <c r="CW31" s="79">
        <v>98.6</v>
      </c>
      <c r="CX31" s="79">
        <v>31.3</v>
      </c>
      <c r="CY31" s="97">
        <v>40533.536</v>
      </c>
      <c r="CZ31" s="94" t="s">
        <v>0</v>
      </c>
      <c r="DA31" s="79">
        <v>75.2</v>
      </c>
      <c r="DB31" s="79">
        <v>88.83</v>
      </c>
      <c r="DC31" s="79">
        <v>88.01</v>
      </c>
      <c r="DD31" s="79" t="s">
        <v>0</v>
      </c>
      <c r="DE31" s="94" t="s">
        <v>0</v>
      </c>
      <c r="DF31" s="79">
        <v>91</v>
      </c>
      <c r="DG31" s="94" t="s">
        <v>0</v>
      </c>
      <c r="DH31" s="94" t="s">
        <v>0</v>
      </c>
      <c r="DI31" s="79">
        <v>83</v>
      </c>
      <c r="DJ31" s="94" t="s">
        <v>0</v>
      </c>
      <c r="DK31" s="99">
        <v>17003</v>
      </c>
      <c r="DL31" s="99">
        <v>41458</v>
      </c>
      <c r="DM31" s="98">
        <v>143.827559842381</v>
      </c>
      <c r="DN31" s="100" t="s">
        <v>0</v>
      </c>
      <c r="DO31" s="98">
        <v>23</v>
      </c>
      <c r="DP31" s="98" t="e">
        <f t="shared" si="13"/>
        <v>#VALUE!</v>
      </c>
      <c r="DQ31" s="98">
        <v>1</v>
      </c>
    </row>
    <row r="32" s="37" customFormat="1" ht="17.6" spans="1:121">
      <c r="A32" s="67" t="s">
        <v>195</v>
      </c>
      <c r="B32" s="60" t="s">
        <v>200</v>
      </c>
      <c r="C32" s="85">
        <v>1</v>
      </c>
      <c r="D32" s="85">
        <v>1</v>
      </c>
      <c r="E32" s="85">
        <v>6</v>
      </c>
      <c r="F32" s="85">
        <v>121.27</v>
      </c>
      <c r="G32" s="86">
        <v>191.13</v>
      </c>
      <c r="H32" s="85">
        <v>134729</v>
      </c>
      <c r="I32" s="87" t="s">
        <v>0</v>
      </c>
      <c r="J32" s="87" t="s">
        <v>0</v>
      </c>
      <c r="K32" s="85">
        <v>14089</v>
      </c>
      <c r="L32" s="87" t="s">
        <v>0</v>
      </c>
      <c r="M32" s="87" t="s">
        <v>0</v>
      </c>
      <c r="N32" s="88">
        <v>1.3468</v>
      </c>
      <c r="O32" s="88">
        <v>4.4272</v>
      </c>
      <c r="P32" s="87">
        <v>1.2309</v>
      </c>
      <c r="Q32" s="87">
        <v>4.3838</v>
      </c>
      <c r="R32" s="89">
        <v>318.2049</v>
      </c>
      <c r="S32" s="89">
        <v>19.5419</v>
      </c>
      <c r="T32" s="90">
        <v>11.5376</v>
      </c>
      <c r="U32" s="90">
        <v>3.6854</v>
      </c>
      <c r="V32" s="89">
        <v>9.1026</v>
      </c>
      <c r="W32" s="88">
        <v>2034</v>
      </c>
      <c r="X32" s="79">
        <v>293</v>
      </c>
      <c r="Y32" s="89">
        <v>1346024</v>
      </c>
      <c r="Z32" s="89">
        <v>175.29</v>
      </c>
      <c r="AA32" s="87">
        <v>1911265.5</v>
      </c>
      <c r="AB32" s="87">
        <v>36190</v>
      </c>
      <c r="AC32" s="87">
        <v>202503.9</v>
      </c>
      <c r="AD32" s="87">
        <v>38418</v>
      </c>
      <c r="AE32" s="79">
        <v>616</v>
      </c>
      <c r="AF32" s="87" t="s">
        <v>0</v>
      </c>
      <c r="AG32" s="88">
        <v>36.8077</v>
      </c>
      <c r="AH32" s="88">
        <v>103.8268</v>
      </c>
      <c r="AI32" s="87" t="s">
        <v>0</v>
      </c>
      <c r="AJ32" s="87" t="s">
        <v>0</v>
      </c>
      <c r="AK32" s="87" t="s">
        <v>0</v>
      </c>
      <c r="AL32" s="87" t="s">
        <v>0</v>
      </c>
      <c r="AM32" s="87" t="s">
        <v>0</v>
      </c>
      <c r="AN32" s="79">
        <v>5665</v>
      </c>
      <c r="AO32" s="88">
        <v>118600</v>
      </c>
      <c r="AP32" s="91">
        <v>0.1801</v>
      </c>
      <c r="AQ32" s="86">
        <v>0.01</v>
      </c>
      <c r="AR32" s="87">
        <v>1383</v>
      </c>
      <c r="AS32" s="89">
        <v>2085</v>
      </c>
      <c r="AT32" s="79">
        <v>1721</v>
      </c>
      <c r="AU32" s="89">
        <v>8</v>
      </c>
      <c r="AV32" s="89">
        <v>5</v>
      </c>
      <c r="AW32" s="87" t="s">
        <v>0</v>
      </c>
      <c r="AX32" s="89">
        <v>9</v>
      </c>
      <c r="AY32" s="87" t="s">
        <v>0</v>
      </c>
      <c r="AZ32" s="88">
        <v>84730</v>
      </c>
      <c r="BA32" s="88">
        <v>143102</v>
      </c>
      <c r="BB32" s="87" t="s">
        <v>0</v>
      </c>
      <c r="BC32" s="87" t="s">
        <v>0</v>
      </c>
      <c r="BD32" s="88">
        <v>113.1</v>
      </c>
      <c r="BE32" s="88">
        <v>9.1</v>
      </c>
      <c r="BF32" s="92">
        <v>18.3</v>
      </c>
      <c r="BG32" s="92">
        <v>11.2</v>
      </c>
      <c r="BH32" s="79">
        <v>106</v>
      </c>
      <c r="BI32" s="94">
        <v>-68.5</v>
      </c>
      <c r="BJ32" s="79">
        <v>55.4</v>
      </c>
      <c r="BK32" s="79">
        <v>10.9</v>
      </c>
      <c r="BL32" s="88">
        <v>105.85</v>
      </c>
      <c r="BM32" s="94" t="s">
        <v>0</v>
      </c>
      <c r="BN32" s="89">
        <v>-4.55</v>
      </c>
      <c r="BO32" s="92">
        <v>45.4</v>
      </c>
      <c r="BP32" s="79">
        <v>9.5</v>
      </c>
      <c r="BQ32" s="79">
        <v>11.3</v>
      </c>
      <c r="BR32" s="79">
        <v>102</v>
      </c>
      <c r="BS32" s="94" t="s">
        <v>0</v>
      </c>
      <c r="BT32" s="94" t="s">
        <v>0</v>
      </c>
      <c r="BU32" s="94" t="s">
        <v>0</v>
      </c>
      <c r="BV32" s="79">
        <v>88.4</v>
      </c>
      <c r="BW32" s="79">
        <v>97.8</v>
      </c>
      <c r="BX32" s="94" t="s">
        <v>0</v>
      </c>
      <c r="BY32" s="94" t="s">
        <v>0</v>
      </c>
      <c r="BZ32" s="79">
        <v>1124</v>
      </c>
      <c r="CA32" s="94" t="s">
        <v>0</v>
      </c>
      <c r="CB32" s="94" t="s">
        <v>0</v>
      </c>
      <c r="CC32" s="94" t="s">
        <v>0</v>
      </c>
      <c r="CD32" s="94" t="s">
        <v>0</v>
      </c>
      <c r="CE32" s="79">
        <v>10.07</v>
      </c>
      <c r="CF32" s="79">
        <v>96.54</v>
      </c>
      <c r="CG32" s="88">
        <v>1344</v>
      </c>
      <c r="CH32" s="94" t="s">
        <v>0</v>
      </c>
      <c r="CI32" s="94" t="s">
        <v>0</v>
      </c>
      <c r="CJ32" s="79">
        <v>44253</v>
      </c>
      <c r="CK32" s="79">
        <v>23077</v>
      </c>
      <c r="CL32" s="79">
        <v>22635</v>
      </c>
      <c r="CM32" s="91">
        <v>6</v>
      </c>
      <c r="CN32" s="94" t="s">
        <v>0</v>
      </c>
      <c r="CO32" s="79">
        <v>1.8</v>
      </c>
      <c r="CP32" s="56" t="s">
        <v>0</v>
      </c>
      <c r="CQ32" s="94" t="s">
        <v>0</v>
      </c>
      <c r="CR32" s="62">
        <f t="shared" si="12"/>
        <v>66.3309352517986</v>
      </c>
      <c r="CS32" s="88">
        <v>13.87</v>
      </c>
      <c r="CT32" s="88">
        <v>5.56</v>
      </c>
      <c r="CU32" s="79">
        <v>53.1</v>
      </c>
      <c r="CV32" s="94" t="s">
        <v>0</v>
      </c>
      <c r="CW32" s="79">
        <v>98.27</v>
      </c>
      <c r="CX32" s="101">
        <v>24.0698583126635</v>
      </c>
      <c r="CY32" s="94" t="s">
        <v>0</v>
      </c>
      <c r="CZ32" s="94" t="s">
        <v>0</v>
      </c>
      <c r="DA32" s="88">
        <v>71.98</v>
      </c>
      <c r="DB32" s="88">
        <v>91.2</v>
      </c>
      <c r="DC32" s="88">
        <v>96.6</v>
      </c>
      <c r="DD32" s="79">
        <v>89.9</v>
      </c>
      <c r="DE32" s="94" t="s">
        <v>0</v>
      </c>
      <c r="DF32" s="79">
        <v>448</v>
      </c>
      <c r="DG32" s="79">
        <v>78.1065</v>
      </c>
      <c r="DH32" s="79">
        <v>176</v>
      </c>
      <c r="DI32" s="79">
        <v>295</v>
      </c>
      <c r="DJ32" s="94" t="s">
        <v>0</v>
      </c>
      <c r="DK32" s="99">
        <v>10572</v>
      </c>
      <c r="DL32" s="99">
        <v>50752</v>
      </c>
      <c r="DM32" s="98">
        <v>380.060537268256</v>
      </c>
      <c r="DN32" s="102">
        <v>28</v>
      </c>
      <c r="DO32" s="99">
        <v>120</v>
      </c>
      <c r="DP32" s="98">
        <f t="shared" si="13"/>
        <v>328.571428571429</v>
      </c>
      <c r="DQ32" s="99">
        <v>11</v>
      </c>
    </row>
    <row r="33" s="37" customFormat="1" ht="17.6" spans="1:121">
      <c r="A33" s="67" t="s">
        <v>195</v>
      </c>
      <c r="B33" s="60" t="s">
        <v>201</v>
      </c>
      <c r="C33" s="85">
        <v>0</v>
      </c>
      <c r="D33" s="85">
        <v>3</v>
      </c>
      <c r="E33" s="85">
        <v>9</v>
      </c>
      <c r="F33" s="85">
        <v>114.45</v>
      </c>
      <c r="G33" s="86">
        <v>315.93</v>
      </c>
      <c r="H33" s="85">
        <v>174347</v>
      </c>
      <c r="I33" s="87" t="s">
        <v>0</v>
      </c>
      <c r="J33" s="87" t="s">
        <v>0</v>
      </c>
      <c r="K33" s="85">
        <v>21210</v>
      </c>
      <c r="L33" s="87" t="s">
        <v>0</v>
      </c>
      <c r="M33" s="87" t="s">
        <v>0</v>
      </c>
      <c r="N33" s="88">
        <v>2.7188</v>
      </c>
      <c r="O33" s="88">
        <v>4.9766</v>
      </c>
      <c r="P33" s="87">
        <v>2.7162</v>
      </c>
      <c r="Q33" s="87">
        <v>4.9574</v>
      </c>
      <c r="R33" s="89">
        <v>360.4389</v>
      </c>
      <c r="S33" s="89">
        <v>26.1214</v>
      </c>
      <c r="T33" s="90">
        <v>16.0932</v>
      </c>
      <c r="U33" s="90">
        <v>6.7794</v>
      </c>
      <c r="V33" s="89">
        <v>17.2807</v>
      </c>
      <c r="W33" s="88">
        <v>3753</v>
      </c>
      <c r="X33" s="87" t="s">
        <v>0</v>
      </c>
      <c r="Y33" s="89">
        <v>1897276</v>
      </c>
      <c r="Z33" s="89">
        <v>257.46</v>
      </c>
      <c r="AA33" s="87">
        <v>286056</v>
      </c>
      <c r="AB33" s="87">
        <v>482682</v>
      </c>
      <c r="AC33" s="87">
        <v>318585</v>
      </c>
      <c r="AD33" s="87">
        <v>54404</v>
      </c>
      <c r="AE33" s="87" t="s">
        <v>0</v>
      </c>
      <c r="AF33" s="87" t="s">
        <v>0</v>
      </c>
      <c r="AG33" s="88">
        <v>34.1715</v>
      </c>
      <c r="AH33" s="88">
        <v>106.6672</v>
      </c>
      <c r="AI33" s="87" t="s">
        <v>0</v>
      </c>
      <c r="AJ33" s="87" t="s">
        <v>0</v>
      </c>
      <c r="AK33" s="87" t="s">
        <v>0</v>
      </c>
      <c r="AL33" s="87" t="s">
        <v>0</v>
      </c>
      <c r="AM33" s="79">
        <v>11091</v>
      </c>
      <c r="AN33" s="87" t="s">
        <v>0</v>
      </c>
      <c r="AO33" s="88">
        <v>120094</v>
      </c>
      <c r="AP33" s="91">
        <v>0.2057</v>
      </c>
      <c r="AQ33" s="86">
        <v>0.01</v>
      </c>
      <c r="AR33" s="87">
        <v>1437</v>
      </c>
      <c r="AS33" s="89">
        <v>2056</v>
      </c>
      <c r="AT33" s="79">
        <v>3730</v>
      </c>
      <c r="AU33" s="89">
        <v>12</v>
      </c>
      <c r="AV33" s="89">
        <v>10</v>
      </c>
      <c r="AW33" s="87" t="s">
        <v>0</v>
      </c>
      <c r="AX33" s="89">
        <v>10</v>
      </c>
      <c r="AY33" s="87" t="s">
        <v>0</v>
      </c>
      <c r="AZ33" s="88">
        <v>89855</v>
      </c>
      <c r="BA33" s="88">
        <v>302196</v>
      </c>
      <c r="BB33" s="79">
        <v>131</v>
      </c>
      <c r="BC33" s="79">
        <v>57</v>
      </c>
      <c r="BD33" s="88">
        <v>98.02</v>
      </c>
      <c r="BE33" s="88">
        <v>7.5</v>
      </c>
      <c r="BF33" s="92">
        <v>16</v>
      </c>
      <c r="BG33" s="92">
        <v>11.6</v>
      </c>
      <c r="BH33" s="93">
        <v>-6.6</v>
      </c>
      <c r="BI33" s="93">
        <v>314</v>
      </c>
      <c r="BJ33" s="94" t="s">
        <v>0</v>
      </c>
      <c r="BK33" s="94" t="s">
        <v>0</v>
      </c>
      <c r="BL33" s="88">
        <v>100.81</v>
      </c>
      <c r="BM33" s="94" t="s">
        <v>0</v>
      </c>
      <c r="BN33" s="89">
        <v>-5.2</v>
      </c>
      <c r="BO33" s="92">
        <v>46</v>
      </c>
      <c r="BP33" s="93">
        <v>10.3</v>
      </c>
      <c r="BQ33" s="93">
        <v>11.4</v>
      </c>
      <c r="BR33" s="94">
        <v>101.8</v>
      </c>
      <c r="BS33" s="94" t="s">
        <v>0</v>
      </c>
      <c r="BT33" s="78">
        <v>0.11358705908259</v>
      </c>
      <c r="BU33" s="94" t="s">
        <v>0</v>
      </c>
      <c r="BV33" s="94" t="s">
        <v>0</v>
      </c>
      <c r="BW33" s="94" t="s">
        <v>0</v>
      </c>
      <c r="BX33" s="94" t="s">
        <v>0</v>
      </c>
      <c r="BY33" s="94" t="s">
        <v>0</v>
      </c>
      <c r="BZ33" s="79">
        <v>1826</v>
      </c>
      <c r="CA33" s="94" t="s">
        <v>0</v>
      </c>
      <c r="CB33" s="94" t="s">
        <v>0</v>
      </c>
      <c r="CC33" s="94" t="s">
        <v>0</v>
      </c>
      <c r="CD33" s="94" t="s">
        <v>0</v>
      </c>
      <c r="CE33" s="94">
        <v>6.96</v>
      </c>
      <c r="CF33" s="94">
        <v>93.99</v>
      </c>
      <c r="CG33" s="88">
        <v>1645</v>
      </c>
      <c r="CH33" s="94" t="s">
        <v>0</v>
      </c>
      <c r="CI33" s="94" t="s">
        <v>0</v>
      </c>
      <c r="CJ33" s="79">
        <v>36363</v>
      </c>
      <c r="CK33" s="79">
        <v>35429</v>
      </c>
      <c r="CL33" s="79">
        <v>4066</v>
      </c>
      <c r="CM33" s="91">
        <v>4</v>
      </c>
      <c r="CN33" s="79">
        <v>8768</v>
      </c>
      <c r="CO33" s="93">
        <v>3.17</v>
      </c>
      <c r="CP33" s="56" t="s">
        <v>0</v>
      </c>
      <c r="CQ33" s="94" t="s">
        <v>0</v>
      </c>
      <c r="CR33" s="62">
        <f t="shared" si="12"/>
        <v>69.8929961089494</v>
      </c>
      <c r="CS33" s="88">
        <v>16.07</v>
      </c>
      <c r="CT33" s="88">
        <v>4.56</v>
      </c>
      <c r="CU33" s="62" t="s">
        <v>0</v>
      </c>
      <c r="CV33" s="79">
        <v>90.11</v>
      </c>
      <c r="CW33" s="94" t="s">
        <v>0</v>
      </c>
      <c r="CX33" s="94">
        <v>35.4</v>
      </c>
      <c r="CY33" s="94" t="s">
        <v>0</v>
      </c>
      <c r="CZ33" s="94" t="s">
        <v>0</v>
      </c>
      <c r="DA33" s="88">
        <v>24.1</v>
      </c>
      <c r="DB33" s="88">
        <v>92.83</v>
      </c>
      <c r="DC33" s="88">
        <v>88.33</v>
      </c>
      <c r="DD33" s="93">
        <v>76.7123287671233</v>
      </c>
      <c r="DE33" s="94" t="s">
        <v>0</v>
      </c>
      <c r="DF33" s="79">
        <v>640</v>
      </c>
      <c r="DG33" s="79">
        <v>100</v>
      </c>
      <c r="DH33" s="79">
        <v>223</v>
      </c>
      <c r="DI33" s="79">
        <v>856</v>
      </c>
      <c r="DJ33" s="79">
        <v>10</v>
      </c>
      <c r="DK33" s="102">
        <v>26134</v>
      </c>
      <c r="DL33" s="99">
        <v>45159</v>
      </c>
      <c r="DM33" s="98">
        <v>72.7978878089845</v>
      </c>
      <c r="DN33" s="102">
        <v>10</v>
      </c>
      <c r="DO33" s="99">
        <v>24</v>
      </c>
      <c r="DP33" s="98">
        <f t="shared" si="13"/>
        <v>140</v>
      </c>
      <c r="DQ33" s="99">
        <v>2</v>
      </c>
    </row>
    <row r="34" s="37" customFormat="1" ht="17.6" spans="1:121">
      <c r="A34" s="67" t="s">
        <v>195</v>
      </c>
      <c r="B34" s="60" t="s">
        <v>202</v>
      </c>
      <c r="C34" s="85">
        <v>2</v>
      </c>
      <c r="D34" s="85">
        <v>0</v>
      </c>
      <c r="E34" s="85">
        <v>10</v>
      </c>
      <c r="F34" s="87">
        <v>47.2</v>
      </c>
      <c r="G34" s="103">
        <v>56.09</v>
      </c>
      <c r="H34" s="85">
        <v>73989</v>
      </c>
      <c r="I34" s="87" t="s">
        <v>0</v>
      </c>
      <c r="J34" s="87" t="s">
        <v>0</v>
      </c>
      <c r="K34" s="85">
        <v>11596</v>
      </c>
      <c r="L34" s="87" t="s">
        <v>0</v>
      </c>
      <c r="M34" s="87" t="s">
        <v>0</v>
      </c>
      <c r="N34" s="87">
        <v>1.137</v>
      </c>
      <c r="O34" s="87">
        <v>1.1065</v>
      </c>
      <c r="P34" s="87">
        <v>1.0621</v>
      </c>
      <c r="Q34" s="87">
        <v>1.0826</v>
      </c>
      <c r="R34" s="89">
        <v>206.9878</v>
      </c>
      <c r="S34" s="89">
        <v>21.3018</v>
      </c>
      <c r="T34" s="90">
        <v>10.8582</v>
      </c>
      <c r="U34" s="90">
        <v>5.8655</v>
      </c>
      <c r="V34" s="89">
        <v>10.3979</v>
      </c>
      <c r="W34" s="87">
        <v>4120.43</v>
      </c>
      <c r="X34" s="87" t="s">
        <v>0</v>
      </c>
      <c r="Y34" s="89">
        <v>781812</v>
      </c>
      <c r="Z34" s="89">
        <v>58.93</v>
      </c>
      <c r="AA34" s="87">
        <v>169646.4</v>
      </c>
      <c r="AB34" s="87">
        <v>26698</v>
      </c>
      <c r="AC34" s="87">
        <v>190483.1</v>
      </c>
      <c r="AD34" s="87">
        <v>30105</v>
      </c>
      <c r="AE34" s="87" t="s">
        <v>0</v>
      </c>
      <c r="AF34" s="87" t="s">
        <v>0</v>
      </c>
      <c r="AG34" s="87" t="s">
        <v>0</v>
      </c>
      <c r="AH34" s="87" t="s">
        <v>0</v>
      </c>
      <c r="AI34" s="87" t="s">
        <v>0</v>
      </c>
      <c r="AJ34" s="87" t="s">
        <v>0</v>
      </c>
      <c r="AK34" s="87" t="s">
        <v>0</v>
      </c>
      <c r="AL34" s="93">
        <v>13.97</v>
      </c>
      <c r="AM34" s="87" t="s">
        <v>0</v>
      </c>
      <c r="AN34" s="87" t="s">
        <v>0</v>
      </c>
      <c r="AO34" s="87" t="s">
        <v>0</v>
      </c>
      <c r="AP34" s="91">
        <v>0.0543</v>
      </c>
      <c r="AQ34" s="86">
        <v>0</v>
      </c>
      <c r="AR34" s="87">
        <v>214</v>
      </c>
      <c r="AS34" s="89">
        <v>845</v>
      </c>
      <c r="AT34" s="87" t="s">
        <v>0</v>
      </c>
      <c r="AU34" s="89">
        <v>13</v>
      </c>
      <c r="AV34" s="89">
        <v>8</v>
      </c>
      <c r="AW34" s="87" t="s">
        <v>0</v>
      </c>
      <c r="AX34" s="89">
        <v>13</v>
      </c>
      <c r="AY34" s="87">
        <v>8</v>
      </c>
      <c r="AZ34" s="88">
        <v>31925</v>
      </c>
      <c r="BA34" s="88">
        <v>53949</v>
      </c>
      <c r="BB34" s="87" t="s">
        <v>0</v>
      </c>
      <c r="BC34" s="87" t="s">
        <v>0</v>
      </c>
      <c r="BD34" s="88">
        <v>82.5</v>
      </c>
      <c r="BE34" s="88">
        <v>9.1</v>
      </c>
      <c r="BF34" s="92">
        <v>16.8</v>
      </c>
      <c r="BG34" s="92">
        <v>11.5</v>
      </c>
      <c r="BH34" s="93">
        <v>-12.3</v>
      </c>
      <c r="BI34" s="93">
        <v>-1.7</v>
      </c>
      <c r="BJ34" s="94" t="s">
        <v>0</v>
      </c>
      <c r="BK34" s="93">
        <v>10.7</v>
      </c>
      <c r="BL34" s="88">
        <v>99.02</v>
      </c>
      <c r="BM34" s="94" t="s">
        <v>0</v>
      </c>
      <c r="BN34" s="89">
        <v>-7.9</v>
      </c>
      <c r="BO34" s="92">
        <v>63.26</v>
      </c>
      <c r="BP34" s="93">
        <v>9.3</v>
      </c>
      <c r="BQ34" s="93">
        <v>12.5</v>
      </c>
      <c r="BR34" s="94" t="s">
        <v>0</v>
      </c>
      <c r="BS34" s="94" t="s">
        <v>0</v>
      </c>
      <c r="BT34" s="94" t="s">
        <v>0</v>
      </c>
      <c r="BU34" s="94" t="s">
        <v>0</v>
      </c>
      <c r="BV34" s="94" t="s">
        <v>0</v>
      </c>
      <c r="BW34" s="94" t="s">
        <v>0</v>
      </c>
      <c r="BX34" s="94" t="s">
        <v>0</v>
      </c>
      <c r="BY34" s="94" t="s">
        <v>0</v>
      </c>
      <c r="BZ34" s="94" t="s">
        <v>0</v>
      </c>
      <c r="CA34" s="94" t="s">
        <v>0</v>
      </c>
      <c r="CB34" s="94" t="s">
        <v>0</v>
      </c>
      <c r="CC34" s="94" t="s">
        <v>0</v>
      </c>
      <c r="CD34" s="94" t="s">
        <v>0</v>
      </c>
      <c r="CE34" s="94">
        <v>9.62</v>
      </c>
      <c r="CF34" s="94">
        <v>95.84</v>
      </c>
      <c r="CG34" s="88">
        <v>628</v>
      </c>
      <c r="CH34" s="94" t="s">
        <v>0</v>
      </c>
      <c r="CI34" s="94" t="s">
        <v>0</v>
      </c>
      <c r="CJ34" s="94" t="s">
        <v>0</v>
      </c>
      <c r="CK34" s="94" t="s">
        <v>0</v>
      </c>
      <c r="CL34" s="94" t="s">
        <v>0</v>
      </c>
      <c r="CM34" s="91">
        <v>7</v>
      </c>
      <c r="CN34" s="94" t="s">
        <v>0</v>
      </c>
      <c r="CO34" s="94" t="s">
        <v>0</v>
      </c>
      <c r="CP34" s="56" t="s">
        <v>0</v>
      </c>
      <c r="CQ34" s="94" t="s">
        <v>0</v>
      </c>
      <c r="CR34" s="62">
        <f t="shared" si="12"/>
        <v>25.3254437869822</v>
      </c>
      <c r="CS34" s="94" t="s">
        <v>0</v>
      </c>
      <c r="CT34" s="94" t="s">
        <v>0</v>
      </c>
      <c r="CU34" s="62" t="s">
        <v>0</v>
      </c>
      <c r="CV34" s="94">
        <v>93.1</v>
      </c>
      <c r="CW34" s="94" t="s">
        <v>0</v>
      </c>
      <c r="CX34" s="94">
        <v>7.2</v>
      </c>
      <c r="CY34" s="94" t="s">
        <v>0</v>
      </c>
      <c r="CZ34" s="94" t="s">
        <v>0</v>
      </c>
      <c r="DA34" s="94">
        <v>59.41</v>
      </c>
      <c r="DB34" s="94" t="s">
        <v>0</v>
      </c>
      <c r="DC34" s="94" t="s">
        <v>0</v>
      </c>
      <c r="DD34" s="94" t="s">
        <v>0</v>
      </c>
      <c r="DE34" s="94" t="s">
        <v>0</v>
      </c>
      <c r="DF34" s="94" t="s">
        <v>0</v>
      </c>
      <c r="DG34" s="94" t="s">
        <v>0</v>
      </c>
      <c r="DH34" s="94" t="s">
        <v>0</v>
      </c>
      <c r="DI34" s="94" t="s">
        <v>0</v>
      </c>
      <c r="DJ34" s="94" t="s">
        <v>0</v>
      </c>
      <c r="DK34" s="100" t="s">
        <v>0</v>
      </c>
      <c r="DL34" s="102">
        <v>60000</v>
      </c>
      <c r="DM34" s="100" t="s">
        <v>0</v>
      </c>
      <c r="DN34" s="104">
        <v>0</v>
      </c>
      <c r="DO34" s="102">
        <v>1</v>
      </c>
      <c r="DP34" s="98" t="e">
        <f t="shared" si="13"/>
        <v>#DIV/0!</v>
      </c>
      <c r="DQ34" s="102">
        <v>1</v>
      </c>
    </row>
    <row r="35" s="37" customFormat="1" ht="17.6" spans="1:121">
      <c r="A35" s="67" t="s">
        <v>195</v>
      </c>
      <c r="B35" s="60" t="s">
        <v>203</v>
      </c>
      <c r="C35" s="85">
        <v>1</v>
      </c>
      <c r="D35" s="85">
        <v>1</v>
      </c>
      <c r="E35" s="85">
        <v>9</v>
      </c>
      <c r="F35" s="85">
        <v>95.81</v>
      </c>
      <c r="G35" s="86">
        <v>115.9</v>
      </c>
      <c r="H35" s="85">
        <v>76768</v>
      </c>
      <c r="I35" s="79">
        <v>1695</v>
      </c>
      <c r="J35" s="79">
        <v>156</v>
      </c>
      <c r="K35" s="85">
        <v>12813</v>
      </c>
      <c r="L35" s="87" t="s">
        <v>0</v>
      </c>
      <c r="M35" s="87" t="s">
        <v>0</v>
      </c>
      <c r="N35" s="88">
        <v>0.0564</v>
      </c>
      <c r="O35" s="88">
        <v>1.5185</v>
      </c>
      <c r="P35" s="87" t="s">
        <v>0</v>
      </c>
      <c r="Q35" s="87" t="s">
        <v>0</v>
      </c>
      <c r="R35" s="89">
        <v>295.0751</v>
      </c>
      <c r="S35" s="89">
        <v>18.034</v>
      </c>
      <c r="T35" s="90">
        <v>11.3374</v>
      </c>
      <c r="U35" s="90">
        <v>3.3429</v>
      </c>
      <c r="V35" s="89">
        <v>11.9373</v>
      </c>
      <c r="W35" s="88">
        <v>2377</v>
      </c>
      <c r="X35" s="87" t="s">
        <v>0</v>
      </c>
      <c r="Y35" s="89">
        <v>782068</v>
      </c>
      <c r="Z35" s="89">
        <v>113.4</v>
      </c>
      <c r="AA35" s="87">
        <v>213222.2</v>
      </c>
      <c r="AB35" s="87">
        <v>41110</v>
      </c>
      <c r="AC35" s="87">
        <v>245805.9</v>
      </c>
      <c r="AD35" s="87">
        <v>47978</v>
      </c>
      <c r="AE35" s="87" t="s">
        <v>0</v>
      </c>
      <c r="AF35" s="79">
        <v>710</v>
      </c>
      <c r="AG35" s="88">
        <v>13.79</v>
      </c>
      <c r="AH35" s="88">
        <v>53.31</v>
      </c>
      <c r="AI35" s="87" t="s">
        <v>0</v>
      </c>
      <c r="AJ35" s="87" t="s">
        <v>0</v>
      </c>
      <c r="AK35" s="87" t="s">
        <v>0</v>
      </c>
      <c r="AL35" s="87" t="s">
        <v>0</v>
      </c>
      <c r="AM35" s="79">
        <v>6348</v>
      </c>
      <c r="AN35" s="87" t="s">
        <v>0</v>
      </c>
      <c r="AO35" s="88">
        <v>57906</v>
      </c>
      <c r="AP35" s="91">
        <v>0.0446</v>
      </c>
      <c r="AQ35" s="86">
        <v>0.01</v>
      </c>
      <c r="AR35" s="87">
        <v>1012</v>
      </c>
      <c r="AS35" s="89">
        <v>1339</v>
      </c>
      <c r="AT35" s="79">
        <v>1093</v>
      </c>
      <c r="AU35" s="89">
        <v>12</v>
      </c>
      <c r="AV35" s="89">
        <v>7</v>
      </c>
      <c r="AW35" s="79" t="s">
        <v>0</v>
      </c>
      <c r="AX35" s="89">
        <v>14</v>
      </c>
      <c r="AY35" s="79">
        <v>1</v>
      </c>
      <c r="AZ35" s="88">
        <v>110126</v>
      </c>
      <c r="BA35" s="88">
        <v>258932</v>
      </c>
      <c r="BB35" s="87" t="s">
        <v>0</v>
      </c>
      <c r="BC35" s="87" t="s">
        <v>0</v>
      </c>
      <c r="BD35" s="88">
        <v>51.02</v>
      </c>
      <c r="BE35" s="88">
        <v>20.2</v>
      </c>
      <c r="BF35" s="92">
        <v>16.8</v>
      </c>
      <c r="BG35" s="92">
        <v>11</v>
      </c>
      <c r="BH35" s="79">
        <v>0.9</v>
      </c>
      <c r="BI35" s="79" t="s">
        <v>0</v>
      </c>
      <c r="BJ35" s="94" t="s">
        <v>0</v>
      </c>
      <c r="BK35" s="79">
        <v>10.9</v>
      </c>
      <c r="BL35" s="88">
        <v>95.72</v>
      </c>
      <c r="BM35" s="94" t="s">
        <v>0</v>
      </c>
      <c r="BN35" s="89">
        <v>-3</v>
      </c>
      <c r="BO35" s="92">
        <v>45.26</v>
      </c>
      <c r="BP35" s="79">
        <v>9.1</v>
      </c>
      <c r="BQ35" s="79">
        <v>12</v>
      </c>
      <c r="BR35" s="93">
        <v>102.1</v>
      </c>
      <c r="BS35" s="94" t="s">
        <v>0</v>
      </c>
      <c r="BT35" s="94" t="s">
        <v>0</v>
      </c>
      <c r="BU35" s="94" t="s">
        <v>0</v>
      </c>
      <c r="BV35" s="94" t="s">
        <v>0</v>
      </c>
      <c r="BW35" s="94" t="s">
        <v>0</v>
      </c>
      <c r="BX35" s="79">
        <v>89</v>
      </c>
      <c r="BY35" s="94" t="s">
        <v>0</v>
      </c>
      <c r="BZ35" s="79">
        <v>1399</v>
      </c>
      <c r="CA35" s="79">
        <v>21</v>
      </c>
      <c r="CB35" s="94" t="s">
        <v>0</v>
      </c>
      <c r="CC35" s="79">
        <v>95</v>
      </c>
      <c r="CD35" s="79">
        <v>105.2</v>
      </c>
      <c r="CE35" s="79">
        <v>5.26</v>
      </c>
      <c r="CF35" s="79">
        <v>92.43</v>
      </c>
      <c r="CG35" s="88">
        <v>413</v>
      </c>
      <c r="CH35" s="94" t="s">
        <v>0</v>
      </c>
      <c r="CI35" s="94" t="s">
        <v>0</v>
      </c>
      <c r="CJ35" s="94" t="s">
        <v>0</v>
      </c>
      <c r="CK35" s="94" t="s">
        <v>0</v>
      </c>
      <c r="CL35" s="94" t="s">
        <v>0</v>
      </c>
      <c r="CM35" s="91">
        <v>3</v>
      </c>
      <c r="CN35" s="97">
        <v>9876</v>
      </c>
      <c r="CO35" s="79">
        <v>1.712</v>
      </c>
      <c r="CP35" s="56" t="s">
        <v>0</v>
      </c>
      <c r="CQ35" s="94" t="s">
        <v>0</v>
      </c>
      <c r="CR35" s="62">
        <f t="shared" si="12"/>
        <v>75.5787901418969</v>
      </c>
      <c r="CS35" s="88">
        <v>27.97</v>
      </c>
      <c r="CT35" s="88">
        <v>9.39</v>
      </c>
      <c r="CU35" s="62" t="s">
        <v>0</v>
      </c>
      <c r="CV35" s="94" t="s">
        <v>0</v>
      </c>
      <c r="CW35" s="94" t="s">
        <v>0</v>
      </c>
      <c r="CX35" s="79">
        <v>17.6</v>
      </c>
      <c r="CY35" s="94" t="s">
        <v>0</v>
      </c>
      <c r="CZ35" s="94" t="s">
        <v>0</v>
      </c>
      <c r="DA35" s="88">
        <v>71.52</v>
      </c>
      <c r="DB35" s="88">
        <v>91.17</v>
      </c>
      <c r="DC35" s="88">
        <v>93.98</v>
      </c>
      <c r="DD35" s="94" t="s">
        <v>0</v>
      </c>
      <c r="DE35" s="94" t="s">
        <v>0</v>
      </c>
      <c r="DF35" s="79">
        <v>330</v>
      </c>
      <c r="DG35" s="79">
        <v>100</v>
      </c>
      <c r="DH35" s="79">
        <v>20</v>
      </c>
      <c r="DI35" s="79">
        <v>57</v>
      </c>
      <c r="DJ35" s="94" t="s">
        <v>0</v>
      </c>
      <c r="DK35" s="102">
        <v>61871</v>
      </c>
      <c r="DL35" s="100" t="s">
        <v>0</v>
      </c>
      <c r="DM35" s="98">
        <v>-100</v>
      </c>
      <c r="DN35" s="104">
        <v>5</v>
      </c>
      <c r="DO35" s="102">
        <v>0</v>
      </c>
      <c r="DP35" s="98">
        <f t="shared" si="13"/>
        <v>-100</v>
      </c>
      <c r="DQ35" s="102">
        <v>5</v>
      </c>
    </row>
    <row r="36" s="36" customFormat="1" ht="17.6" spans="1:121">
      <c r="A36" s="67" t="s">
        <v>195</v>
      </c>
      <c r="B36" s="60" t="s">
        <v>204</v>
      </c>
      <c r="C36" s="105">
        <v>0</v>
      </c>
      <c r="D36" s="105">
        <v>1</v>
      </c>
      <c r="E36" s="105">
        <v>7</v>
      </c>
      <c r="F36" s="72">
        <v>49.48</v>
      </c>
      <c r="G36" s="73">
        <v>154.01</v>
      </c>
      <c r="H36" s="72">
        <v>127430</v>
      </c>
      <c r="I36" s="40" t="s">
        <v>0</v>
      </c>
      <c r="J36" s="40" t="s">
        <v>0</v>
      </c>
      <c r="K36" s="72">
        <v>28837</v>
      </c>
      <c r="L36" s="40" t="s">
        <v>0</v>
      </c>
      <c r="M36" s="40" t="s">
        <v>0</v>
      </c>
      <c r="N36" s="52">
        <v>7.6608</v>
      </c>
      <c r="O36" s="52">
        <v>5.4435</v>
      </c>
      <c r="P36" s="40">
        <v>7.47</v>
      </c>
      <c r="Q36" s="40">
        <v>5.38</v>
      </c>
      <c r="R36" s="74">
        <v>541.4263</v>
      </c>
      <c r="S36" s="74">
        <v>34.5183</v>
      </c>
      <c r="T36" s="75">
        <v>18.4289</v>
      </c>
      <c r="U36" s="75">
        <v>15.4868</v>
      </c>
      <c r="V36" s="74">
        <v>11.5831</v>
      </c>
      <c r="W36" s="52">
        <v>11902</v>
      </c>
      <c r="X36" s="40">
        <v>437</v>
      </c>
      <c r="Y36" s="74">
        <v>2148095</v>
      </c>
      <c r="Z36" s="74">
        <v>108.17</v>
      </c>
      <c r="AA36" s="40">
        <v>271191</v>
      </c>
      <c r="AB36" s="40">
        <v>39919</v>
      </c>
      <c r="AC36" s="40">
        <v>308382</v>
      </c>
      <c r="AD36" s="40">
        <v>46013</v>
      </c>
      <c r="AE36" s="40" t="s">
        <v>0</v>
      </c>
      <c r="AF36" s="40" t="s">
        <v>0</v>
      </c>
      <c r="AG36" s="52">
        <v>27.6229</v>
      </c>
      <c r="AH36" s="52">
        <v>66.7039</v>
      </c>
      <c r="AI36" s="40" t="s">
        <v>0</v>
      </c>
      <c r="AJ36" s="40">
        <v>64.92</v>
      </c>
      <c r="AK36" s="40">
        <v>37</v>
      </c>
      <c r="AL36" s="40" t="s">
        <v>0</v>
      </c>
      <c r="AM36" s="52" t="s">
        <v>0</v>
      </c>
      <c r="AN36" s="40" t="s">
        <v>0</v>
      </c>
      <c r="AO36" s="52">
        <v>195409</v>
      </c>
      <c r="AP36" s="77">
        <v>0.1621</v>
      </c>
      <c r="AQ36" s="73">
        <v>0</v>
      </c>
      <c r="AR36" s="40">
        <v>501</v>
      </c>
      <c r="AS36" s="74">
        <v>739</v>
      </c>
      <c r="AT36" s="40" t="s">
        <v>0</v>
      </c>
      <c r="AU36" s="74">
        <v>8</v>
      </c>
      <c r="AV36" s="74">
        <v>6</v>
      </c>
      <c r="AW36" s="76">
        <v>1</v>
      </c>
      <c r="AX36" s="74">
        <v>9</v>
      </c>
      <c r="AY36" s="40">
        <v>8</v>
      </c>
      <c r="AZ36" s="52">
        <v>18259</v>
      </c>
      <c r="BA36" s="52">
        <v>49892</v>
      </c>
      <c r="BB36" s="40" t="s">
        <v>0</v>
      </c>
      <c r="BC36" s="40" t="s">
        <v>0</v>
      </c>
      <c r="BD36" s="52">
        <v>430.1</v>
      </c>
      <c r="BE36" s="52">
        <v>-2.3</v>
      </c>
      <c r="BF36" s="54">
        <v>14.2</v>
      </c>
      <c r="BG36" s="54">
        <v>10.1</v>
      </c>
      <c r="BH36" s="54">
        <v>-36.5</v>
      </c>
      <c r="BI36" s="54">
        <v>5.3</v>
      </c>
      <c r="BJ36" s="54" t="s">
        <v>0</v>
      </c>
      <c r="BK36" s="54" t="s">
        <v>0</v>
      </c>
      <c r="BL36" s="52">
        <v>99.27</v>
      </c>
      <c r="BM36" s="54" t="s">
        <v>0</v>
      </c>
      <c r="BN36" s="74">
        <v>4.58</v>
      </c>
      <c r="BO36" s="54">
        <v>72.81</v>
      </c>
      <c r="BP36" s="54">
        <v>-6.9</v>
      </c>
      <c r="BQ36" s="54">
        <v>5</v>
      </c>
      <c r="BR36" s="54" t="s">
        <v>0</v>
      </c>
      <c r="BS36" s="54" t="s">
        <v>0</v>
      </c>
      <c r="BT36" s="54" t="s">
        <v>0</v>
      </c>
      <c r="BU36" s="54" t="s">
        <v>0</v>
      </c>
      <c r="BV36" s="54" t="s">
        <v>0</v>
      </c>
      <c r="BW36" s="54" t="s">
        <v>0</v>
      </c>
      <c r="BX36" s="54" t="s">
        <v>0</v>
      </c>
      <c r="BY36" s="54" t="s">
        <v>0</v>
      </c>
      <c r="BZ36" s="54" t="s">
        <v>0</v>
      </c>
      <c r="CA36" s="54" t="s">
        <v>0</v>
      </c>
      <c r="CB36" s="54" t="s">
        <v>0</v>
      </c>
      <c r="CC36" s="54" t="s">
        <v>0</v>
      </c>
      <c r="CD36" s="54" t="s">
        <v>0</v>
      </c>
      <c r="CE36" s="54">
        <v>10.76</v>
      </c>
      <c r="CF36" s="54" t="s">
        <v>0</v>
      </c>
      <c r="CG36" s="52">
        <v>1226</v>
      </c>
      <c r="CH36" s="54" t="s">
        <v>0</v>
      </c>
      <c r="CI36" s="54" t="s">
        <v>0</v>
      </c>
      <c r="CJ36" s="54" t="s">
        <v>0</v>
      </c>
      <c r="CK36" s="54" t="s">
        <v>0</v>
      </c>
      <c r="CL36" s="54" t="s">
        <v>0</v>
      </c>
      <c r="CM36" s="77">
        <v>0</v>
      </c>
      <c r="CN36" s="54" t="s">
        <v>0</v>
      </c>
      <c r="CO36" s="54" t="s">
        <v>0</v>
      </c>
      <c r="CP36" s="56" t="s">
        <v>0</v>
      </c>
      <c r="CQ36" s="54" t="s">
        <v>0</v>
      </c>
      <c r="CR36" s="62">
        <f t="shared" si="12"/>
        <v>67.7943166441137</v>
      </c>
      <c r="CS36" s="52">
        <v>106.27</v>
      </c>
      <c r="CT36" s="52">
        <v>17.25</v>
      </c>
      <c r="CU36" s="62">
        <f>AK36/AJ36*100</f>
        <v>56.9932224276032</v>
      </c>
      <c r="CV36" s="54" t="s">
        <v>0</v>
      </c>
      <c r="CW36" s="54" t="s">
        <v>0</v>
      </c>
      <c r="CX36" s="54" t="s">
        <v>0</v>
      </c>
      <c r="CY36" s="54" t="s">
        <v>0</v>
      </c>
      <c r="CZ36" s="54" t="s">
        <v>0</v>
      </c>
      <c r="DA36" s="52">
        <v>42.37</v>
      </c>
      <c r="DB36" s="52">
        <v>95</v>
      </c>
      <c r="DC36" s="52">
        <v>98</v>
      </c>
      <c r="DD36" s="54" t="s">
        <v>0</v>
      </c>
      <c r="DE36" s="54">
        <v>50.2</v>
      </c>
      <c r="DF36" s="54" t="s">
        <v>0</v>
      </c>
      <c r="DG36" s="54" t="s">
        <v>0</v>
      </c>
      <c r="DH36" s="54" t="s">
        <v>0</v>
      </c>
      <c r="DI36" s="54" t="s">
        <v>0</v>
      </c>
      <c r="DJ36" s="54" t="s">
        <v>0</v>
      </c>
      <c r="DK36" s="106">
        <v>102181</v>
      </c>
      <c r="DL36" s="106">
        <v>320000</v>
      </c>
      <c r="DM36" s="81">
        <v>213.169767373582</v>
      </c>
      <c r="DN36" s="107">
        <v>5</v>
      </c>
      <c r="DO36" s="107">
        <v>29</v>
      </c>
      <c r="DP36" s="98">
        <f t="shared" si="13"/>
        <v>480</v>
      </c>
      <c r="DQ36" s="107">
        <v>8</v>
      </c>
    </row>
    <row r="37" s="37" customFormat="1" ht="18" spans="1:121">
      <c r="A37" s="67" t="s">
        <v>195</v>
      </c>
      <c r="B37" s="60" t="s">
        <v>205</v>
      </c>
      <c r="C37" s="85">
        <v>0</v>
      </c>
      <c r="D37" s="85">
        <v>1</v>
      </c>
      <c r="E37" s="85">
        <v>6</v>
      </c>
      <c r="F37" s="85">
        <v>86.52</v>
      </c>
      <c r="G37" s="86">
        <v>80.71</v>
      </c>
      <c r="H37" s="85">
        <v>71946</v>
      </c>
      <c r="I37" s="87" t="s">
        <v>0</v>
      </c>
      <c r="J37" s="87" t="s">
        <v>0</v>
      </c>
      <c r="K37" s="85">
        <v>10340</v>
      </c>
      <c r="L37" s="87" t="s">
        <v>0</v>
      </c>
      <c r="M37" s="87" t="s">
        <v>0</v>
      </c>
      <c r="N37" s="88">
        <v>0.23</v>
      </c>
      <c r="O37" s="88">
        <v>1.17</v>
      </c>
      <c r="P37" s="87" t="s">
        <v>0</v>
      </c>
      <c r="Q37" s="87" t="s">
        <v>0</v>
      </c>
      <c r="R37" s="89">
        <v>193.8016</v>
      </c>
      <c r="S37" s="89">
        <v>14.8954</v>
      </c>
      <c r="T37" s="90">
        <v>9.4736</v>
      </c>
      <c r="U37" s="90">
        <v>2.8389</v>
      </c>
      <c r="V37" s="89">
        <v>9.9777</v>
      </c>
      <c r="W37" s="88">
        <v>1519</v>
      </c>
      <c r="X37" s="87" t="s">
        <v>0</v>
      </c>
      <c r="Y37" s="89">
        <v>737941</v>
      </c>
      <c r="Z37" s="89">
        <v>90</v>
      </c>
      <c r="AA37" s="87">
        <v>1544427.9</v>
      </c>
      <c r="AB37" s="87">
        <v>29144</v>
      </c>
      <c r="AC37" s="87">
        <v>167698.8</v>
      </c>
      <c r="AD37" s="87">
        <v>31793</v>
      </c>
      <c r="AE37" s="87" t="s">
        <v>0</v>
      </c>
      <c r="AF37" s="87" t="s">
        <v>0</v>
      </c>
      <c r="AG37" s="88">
        <v>29.8623</v>
      </c>
      <c r="AH37" s="88">
        <v>63.3004</v>
      </c>
      <c r="AI37" s="87" t="s">
        <v>0</v>
      </c>
      <c r="AJ37" s="87" t="s">
        <v>0</v>
      </c>
      <c r="AK37" s="87" t="s">
        <v>0</v>
      </c>
      <c r="AL37" s="93">
        <v>19</v>
      </c>
      <c r="AM37" s="88" t="s">
        <v>0</v>
      </c>
      <c r="AN37" s="79">
        <v>7787</v>
      </c>
      <c r="AO37" s="88">
        <v>76139</v>
      </c>
      <c r="AP37" s="91">
        <v>0.3613</v>
      </c>
      <c r="AQ37" s="86">
        <v>0.04</v>
      </c>
      <c r="AR37" s="87">
        <v>568</v>
      </c>
      <c r="AS37" s="89">
        <v>650</v>
      </c>
      <c r="AT37" s="79">
        <v>2020</v>
      </c>
      <c r="AU37" s="89">
        <v>7</v>
      </c>
      <c r="AV37" s="89">
        <v>5</v>
      </c>
      <c r="AW37" s="87">
        <v>1</v>
      </c>
      <c r="AX37" s="89">
        <v>8</v>
      </c>
      <c r="AY37" s="87" t="s">
        <v>0</v>
      </c>
      <c r="AZ37" s="88">
        <v>45652</v>
      </c>
      <c r="BA37" s="88">
        <v>75720</v>
      </c>
      <c r="BB37" s="87" t="s">
        <v>0</v>
      </c>
      <c r="BC37" s="87" t="s">
        <v>0</v>
      </c>
      <c r="BD37" s="88">
        <v>62.02</v>
      </c>
      <c r="BE37" s="88">
        <v>7</v>
      </c>
      <c r="BF37" s="92">
        <v>17.2</v>
      </c>
      <c r="BG37" s="92">
        <v>11.4</v>
      </c>
      <c r="BH37" s="93">
        <v>98.7</v>
      </c>
      <c r="BI37" s="93">
        <v>21.4</v>
      </c>
      <c r="BJ37" s="94" t="s">
        <v>0</v>
      </c>
      <c r="BK37" s="93">
        <v>10.7</v>
      </c>
      <c r="BL37" s="88">
        <v>95.86</v>
      </c>
      <c r="BM37" s="94" t="s">
        <v>0</v>
      </c>
      <c r="BN37" s="89">
        <v>-4.35</v>
      </c>
      <c r="BO37" s="92">
        <v>51.7</v>
      </c>
      <c r="BP37" s="93">
        <v>9.4</v>
      </c>
      <c r="BQ37" s="93">
        <v>13</v>
      </c>
      <c r="BR37" s="94">
        <v>101.7</v>
      </c>
      <c r="BS37" s="94" t="s">
        <v>0</v>
      </c>
      <c r="BT37" s="94" t="s">
        <v>0</v>
      </c>
      <c r="BU37" s="94" t="s">
        <v>0</v>
      </c>
      <c r="BV37" s="94" t="s">
        <v>0</v>
      </c>
      <c r="BW37" s="94" t="s">
        <v>0</v>
      </c>
      <c r="BX37" s="94" t="s">
        <v>0</v>
      </c>
      <c r="BY37" s="94" t="s">
        <v>0</v>
      </c>
      <c r="BZ37" s="79">
        <v>2559</v>
      </c>
      <c r="CA37" s="94" t="s">
        <v>0</v>
      </c>
      <c r="CB37" s="94" t="s">
        <v>0</v>
      </c>
      <c r="CC37" s="94" t="s">
        <v>0</v>
      </c>
      <c r="CD37" s="94" t="s">
        <v>0</v>
      </c>
      <c r="CE37" s="94">
        <v>8.56</v>
      </c>
      <c r="CF37" s="94" t="s">
        <v>0</v>
      </c>
      <c r="CG37" s="88">
        <v>754</v>
      </c>
      <c r="CH37" s="94" t="s">
        <v>0</v>
      </c>
      <c r="CI37" s="94" t="s">
        <v>0</v>
      </c>
      <c r="CJ37" s="94" t="s">
        <v>0</v>
      </c>
      <c r="CK37" s="94" t="s">
        <v>0</v>
      </c>
      <c r="CL37" s="94" t="s">
        <v>0</v>
      </c>
      <c r="CM37" s="91">
        <v>2</v>
      </c>
      <c r="CN37" s="79">
        <v>9919</v>
      </c>
      <c r="CO37" s="93">
        <v>1.4</v>
      </c>
      <c r="CP37" s="56" t="s">
        <v>0</v>
      </c>
      <c r="CQ37" s="94" t="s">
        <v>0</v>
      </c>
      <c r="CR37" s="79">
        <v>94.2</v>
      </c>
      <c r="CS37" s="88">
        <v>28.14</v>
      </c>
      <c r="CT37" s="88">
        <v>2.14</v>
      </c>
      <c r="CU37" s="62" t="s">
        <v>0</v>
      </c>
      <c r="CV37" s="94">
        <v>88.22</v>
      </c>
      <c r="CW37" s="94" t="s">
        <v>0</v>
      </c>
      <c r="CX37" s="94">
        <v>13.72</v>
      </c>
      <c r="CY37" s="94" t="s">
        <v>0</v>
      </c>
      <c r="CZ37" s="94" t="s">
        <v>0</v>
      </c>
      <c r="DA37" s="88">
        <v>61.8</v>
      </c>
      <c r="DB37" s="88">
        <v>95.93</v>
      </c>
      <c r="DC37" s="88">
        <v>96.48</v>
      </c>
      <c r="DD37" s="93">
        <v>94</v>
      </c>
      <c r="DE37" s="94" t="s">
        <v>0</v>
      </c>
      <c r="DF37" s="79">
        <v>158</v>
      </c>
      <c r="DG37" s="94" t="s">
        <v>0</v>
      </c>
      <c r="DH37" s="79">
        <v>54</v>
      </c>
      <c r="DI37" s="79">
        <v>218</v>
      </c>
      <c r="DJ37" s="79">
        <v>5</v>
      </c>
      <c r="DK37" s="104" t="s">
        <v>0</v>
      </c>
      <c r="DL37" s="100" t="s">
        <v>0</v>
      </c>
      <c r="DM37" s="100" t="s">
        <v>0</v>
      </c>
      <c r="DN37" s="104">
        <v>6</v>
      </c>
      <c r="DO37" s="104">
        <v>15</v>
      </c>
      <c r="DP37" s="98">
        <f t="shared" si="13"/>
        <v>150</v>
      </c>
      <c r="DQ37" s="104">
        <v>3</v>
      </c>
    </row>
    <row r="38" s="37" customFormat="1" ht="18" spans="1:121">
      <c r="A38" s="67" t="s">
        <v>195</v>
      </c>
      <c r="B38" s="60" t="s">
        <v>206</v>
      </c>
      <c r="C38" s="85">
        <v>0</v>
      </c>
      <c r="D38" s="85">
        <v>3</v>
      </c>
      <c r="E38" s="85">
        <v>0</v>
      </c>
      <c r="F38" s="85">
        <v>52.41</v>
      </c>
      <c r="G38" s="86">
        <v>3.01</v>
      </c>
      <c r="H38" s="85">
        <v>20849</v>
      </c>
      <c r="I38" s="87" t="s">
        <v>0</v>
      </c>
      <c r="J38" s="87" t="s">
        <v>0</v>
      </c>
      <c r="K38" s="85">
        <v>5874</v>
      </c>
      <c r="L38" s="87" t="s">
        <v>0</v>
      </c>
      <c r="M38" s="87" t="s">
        <v>0</v>
      </c>
      <c r="N38" s="88">
        <v>2.4232</v>
      </c>
      <c r="O38" s="88">
        <v>1.0841</v>
      </c>
      <c r="P38" s="87" t="s">
        <v>0</v>
      </c>
      <c r="Q38" s="87" t="s">
        <v>0</v>
      </c>
      <c r="R38" s="89">
        <v>94.56</v>
      </c>
      <c r="S38" s="89">
        <v>5.1467</v>
      </c>
      <c r="T38" s="90">
        <v>3.438</v>
      </c>
      <c r="U38" s="90">
        <v>1.5619</v>
      </c>
      <c r="V38" s="89">
        <v>1.868</v>
      </c>
      <c r="W38" s="88">
        <v>2641</v>
      </c>
      <c r="X38" s="87" t="s">
        <v>0</v>
      </c>
      <c r="Y38" s="89">
        <v>646235</v>
      </c>
      <c r="Z38" s="89">
        <v>31.48</v>
      </c>
      <c r="AA38" s="87">
        <v>53070.9</v>
      </c>
      <c r="AB38" s="87">
        <v>10286</v>
      </c>
      <c r="AC38" s="87">
        <v>55678.1</v>
      </c>
      <c r="AD38" s="87">
        <v>10394</v>
      </c>
      <c r="AE38" s="87" t="s">
        <v>0</v>
      </c>
      <c r="AF38" s="87" t="s">
        <v>0</v>
      </c>
      <c r="AG38" s="88">
        <v>17.6168</v>
      </c>
      <c r="AH38" s="88">
        <v>46.4182</v>
      </c>
      <c r="AI38" s="87" t="s">
        <v>0</v>
      </c>
      <c r="AJ38" s="87" t="s">
        <v>0</v>
      </c>
      <c r="AK38" s="87" t="s">
        <v>0</v>
      </c>
      <c r="AL38" s="87" t="s">
        <v>0</v>
      </c>
      <c r="AM38" s="88" t="s">
        <v>0</v>
      </c>
      <c r="AN38" s="87" t="s">
        <v>0</v>
      </c>
      <c r="AO38" s="88">
        <v>104786</v>
      </c>
      <c r="AP38" s="91" t="s">
        <v>0</v>
      </c>
      <c r="AQ38" s="86" t="s">
        <v>0</v>
      </c>
      <c r="AR38" s="87">
        <v>13</v>
      </c>
      <c r="AS38" s="89">
        <v>13</v>
      </c>
      <c r="AT38" s="87" t="s">
        <v>0</v>
      </c>
      <c r="AU38" s="89">
        <v>3</v>
      </c>
      <c r="AV38" s="89">
        <v>3</v>
      </c>
      <c r="AW38" s="87" t="s">
        <v>0</v>
      </c>
      <c r="AX38" s="89">
        <v>1</v>
      </c>
      <c r="AY38" s="87" t="s">
        <v>0</v>
      </c>
      <c r="AZ38" s="88">
        <v>17534</v>
      </c>
      <c r="BA38" s="87" t="s">
        <v>0</v>
      </c>
      <c r="BB38" s="87" t="s">
        <v>0</v>
      </c>
      <c r="BC38" s="87" t="s">
        <v>0</v>
      </c>
      <c r="BD38" s="88">
        <v>75.16</v>
      </c>
      <c r="BE38" s="88">
        <v>9.7</v>
      </c>
      <c r="BF38" s="92">
        <v>17.1</v>
      </c>
      <c r="BG38" s="92">
        <v>11.7</v>
      </c>
      <c r="BH38" s="94" t="s">
        <v>0</v>
      </c>
      <c r="BI38" s="93">
        <v>7.4</v>
      </c>
      <c r="BJ38" s="94" t="s">
        <v>0</v>
      </c>
      <c r="BK38" s="93">
        <v>11</v>
      </c>
      <c r="BL38" s="88">
        <v>103.3</v>
      </c>
      <c r="BM38" s="94">
        <v>2.6366</v>
      </c>
      <c r="BN38" s="89">
        <v>-2.5</v>
      </c>
      <c r="BO38" s="92">
        <v>94.6</v>
      </c>
      <c r="BP38" s="93">
        <v>9.5</v>
      </c>
      <c r="BQ38" s="93">
        <v>10.5</v>
      </c>
      <c r="BR38" s="93">
        <v>101.8</v>
      </c>
      <c r="BS38" s="94" t="s">
        <v>0</v>
      </c>
      <c r="BT38" s="94" t="s">
        <v>0</v>
      </c>
      <c r="BU38" s="94" t="s">
        <v>0</v>
      </c>
      <c r="BV38" s="94" t="s">
        <v>0</v>
      </c>
      <c r="BW38" s="94" t="s">
        <v>0</v>
      </c>
      <c r="BX38" s="94" t="s">
        <v>0</v>
      </c>
      <c r="BY38" s="94" t="s">
        <v>0</v>
      </c>
      <c r="BZ38" s="94" t="s">
        <v>0</v>
      </c>
      <c r="CA38" s="94" t="s">
        <v>0</v>
      </c>
      <c r="CB38" s="94" t="s">
        <v>0</v>
      </c>
      <c r="CC38" s="94" t="s">
        <v>0</v>
      </c>
      <c r="CD38" s="94" t="s">
        <v>0</v>
      </c>
      <c r="CE38" s="94" t="s">
        <v>0</v>
      </c>
      <c r="CF38" s="94" t="s">
        <v>0</v>
      </c>
      <c r="CG38" s="88">
        <v>264</v>
      </c>
      <c r="CH38" s="94" t="s">
        <v>0</v>
      </c>
      <c r="CI38" s="94" t="s">
        <v>0</v>
      </c>
      <c r="CJ38" s="94" t="s">
        <v>0</v>
      </c>
      <c r="CK38" s="94" t="s">
        <v>0</v>
      </c>
      <c r="CL38" s="94" t="s">
        <v>0</v>
      </c>
      <c r="CM38" s="91">
        <v>2</v>
      </c>
      <c r="CN38" s="94" t="s">
        <v>0</v>
      </c>
      <c r="CO38" s="94" t="s">
        <v>0</v>
      </c>
      <c r="CP38" s="56" t="s">
        <v>0</v>
      </c>
      <c r="CQ38" s="94" t="s">
        <v>0</v>
      </c>
      <c r="CR38" s="62">
        <f>AR38/AS38*100</f>
        <v>100</v>
      </c>
      <c r="CS38" s="88">
        <v>18.28</v>
      </c>
      <c r="CT38" s="88">
        <v>7.24</v>
      </c>
      <c r="CU38" s="62" t="s">
        <v>0</v>
      </c>
      <c r="CV38" s="94" t="s">
        <v>0</v>
      </c>
      <c r="CW38" s="94" t="s">
        <v>0</v>
      </c>
      <c r="CX38" s="94" t="s">
        <v>0</v>
      </c>
      <c r="CY38" s="94" t="s">
        <v>0</v>
      </c>
      <c r="CZ38" s="94" t="s">
        <v>0</v>
      </c>
      <c r="DA38" s="88">
        <v>49.15</v>
      </c>
      <c r="DB38" s="88">
        <v>90.71</v>
      </c>
      <c r="DC38" s="88">
        <v>94.57</v>
      </c>
      <c r="DD38" s="94" t="s">
        <v>0</v>
      </c>
      <c r="DE38" s="94" t="s">
        <v>0</v>
      </c>
      <c r="DF38" s="94" t="s">
        <v>0</v>
      </c>
      <c r="DG38" s="94" t="s">
        <v>0</v>
      </c>
      <c r="DH38" s="94" t="s">
        <v>0</v>
      </c>
      <c r="DI38" s="94" t="s">
        <v>0</v>
      </c>
      <c r="DJ38" s="94" t="s">
        <v>0</v>
      </c>
      <c r="DK38" s="100" t="s">
        <v>0</v>
      </c>
      <c r="DL38" s="104">
        <v>32123</v>
      </c>
      <c r="DM38" s="100" t="s">
        <v>0</v>
      </c>
      <c r="DN38" s="100" t="s">
        <v>0</v>
      </c>
      <c r="DO38" s="104">
        <v>4</v>
      </c>
      <c r="DP38" s="98" t="e">
        <f t="shared" si="13"/>
        <v>#VALUE!</v>
      </c>
      <c r="DQ38" s="104">
        <v>2</v>
      </c>
    </row>
    <row r="39" s="37" customFormat="1" ht="17.6" spans="1:121">
      <c r="A39" s="67" t="s">
        <v>195</v>
      </c>
      <c r="B39" s="60" t="s">
        <v>207</v>
      </c>
      <c r="C39" s="85">
        <v>0</v>
      </c>
      <c r="D39" s="85">
        <v>0</v>
      </c>
      <c r="E39" s="85">
        <v>3</v>
      </c>
      <c r="F39" s="87" t="s">
        <v>0</v>
      </c>
      <c r="G39" s="87" t="s">
        <v>0</v>
      </c>
      <c r="H39" s="85">
        <v>17099</v>
      </c>
      <c r="I39" s="79">
        <v>490</v>
      </c>
      <c r="J39" s="79">
        <v>32</v>
      </c>
      <c r="K39" s="85">
        <v>3341</v>
      </c>
      <c r="L39" s="87" t="s">
        <v>0</v>
      </c>
      <c r="M39" s="87" t="s">
        <v>0</v>
      </c>
      <c r="N39" s="87" t="s">
        <v>0</v>
      </c>
      <c r="O39" s="87" t="s">
        <v>0</v>
      </c>
      <c r="P39" s="87" t="s">
        <v>0</v>
      </c>
      <c r="Q39" s="87" t="s">
        <v>0</v>
      </c>
      <c r="R39" s="89">
        <v>85.2455</v>
      </c>
      <c r="S39" s="89">
        <v>8.4836</v>
      </c>
      <c r="T39" s="90">
        <v>4.1296</v>
      </c>
      <c r="U39" s="90">
        <v>1.8465</v>
      </c>
      <c r="V39" s="89">
        <v>3.9449</v>
      </c>
      <c r="W39" s="87">
        <v>1402</v>
      </c>
      <c r="X39" s="79">
        <v>20</v>
      </c>
      <c r="Y39" s="89">
        <v>351574</v>
      </c>
      <c r="Z39" s="89">
        <v>18.54</v>
      </c>
      <c r="AA39" s="87">
        <v>54394.7</v>
      </c>
      <c r="AB39" s="87">
        <v>8615</v>
      </c>
      <c r="AC39" s="87">
        <v>62366.7</v>
      </c>
      <c r="AD39" s="87">
        <v>9858</v>
      </c>
      <c r="AE39" s="87" t="s">
        <v>0</v>
      </c>
      <c r="AF39" s="87" t="s">
        <v>0</v>
      </c>
      <c r="AG39" s="97" t="s">
        <v>0</v>
      </c>
      <c r="AH39" s="97">
        <v>11.49</v>
      </c>
      <c r="AI39" s="87" t="s">
        <v>0</v>
      </c>
      <c r="AJ39" s="87" t="s">
        <v>0</v>
      </c>
      <c r="AK39" s="87" t="s">
        <v>0</v>
      </c>
      <c r="AL39" s="79">
        <v>4.552</v>
      </c>
      <c r="AM39" s="79">
        <v>1417</v>
      </c>
      <c r="AN39" s="79">
        <v>742</v>
      </c>
      <c r="AO39" s="79">
        <v>67100</v>
      </c>
      <c r="AP39" s="91">
        <v>0.035</v>
      </c>
      <c r="AQ39" s="86">
        <v>0.01</v>
      </c>
      <c r="AR39" s="87">
        <v>109</v>
      </c>
      <c r="AS39" s="89">
        <v>198</v>
      </c>
      <c r="AT39" s="79">
        <v>420</v>
      </c>
      <c r="AU39" s="89">
        <v>3</v>
      </c>
      <c r="AV39" s="89">
        <v>1</v>
      </c>
      <c r="AW39" s="87" t="s">
        <v>0</v>
      </c>
      <c r="AX39" s="89">
        <v>4</v>
      </c>
      <c r="AY39" s="87" t="s">
        <v>0</v>
      </c>
      <c r="AZ39" s="88">
        <v>3822</v>
      </c>
      <c r="BA39" s="88">
        <v>2279</v>
      </c>
      <c r="BB39" s="87" t="s">
        <v>0</v>
      </c>
      <c r="BC39" s="87" t="s">
        <v>0</v>
      </c>
      <c r="BD39" s="88">
        <v>54.3</v>
      </c>
      <c r="BE39" s="88">
        <v>-17.2</v>
      </c>
      <c r="BF39" s="92">
        <v>23.1</v>
      </c>
      <c r="BG39" s="92">
        <v>11</v>
      </c>
      <c r="BH39" s="79">
        <v>-24.06</v>
      </c>
      <c r="BI39" s="79">
        <v>402.8</v>
      </c>
      <c r="BJ39" s="93">
        <v>402.8</v>
      </c>
      <c r="BK39" s="79">
        <v>10.7</v>
      </c>
      <c r="BL39" s="88">
        <v>108.65</v>
      </c>
      <c r="BM39" s="94" t="s">
        <v>0</v>
      </c>
      <c r="BN39" s="89">
        <v>-4.48</v>
      </c>
      <c r="BO39" s="92">
        <v>76.77</v>
      </c>
      <c r="BP39" s="79">
        <v>9.2</v>
      </c>
      <c r="BQ39" s="79">
        <v>12.5</v>
      </c>
      <c r="BR39" s="79">
        <v>101.4</v>
      </c>
      <c r="BS39" s="79">
        <v>98.9</v>
      </c>
      <c r="BT39" s="108">
        <v>0.105556088667114</v>
      </c>
      <c r="BU39" s="94" t="s">
        <v>0</v>
      </c>
      <c r="BV39" s="79">
        <v>98.89</v>
      </c>
      <c r="BW39" s="79">
        <v>99.5</v>
      </c>
      <c r="BX39" s="94" t="s">
        <v>0</v>
      </c>
      <c r="BY39" s="94" t="s">
        <v>0</v>
      </c>
      <c r="BZ39" s="94" t="s">
        <v>0</v>
      </c>
      <c r="CA39" s="94" t="s">
        <v>0</v>
      </c>
      <c r="CB39" s="94" t="s">
        <v>0</v>
      </c>
      <c r="CC39" s="79">
        <v>100</v>
      </c>
      <c r="CD39" s="79">
        <v>105.71</v>
      </c>
      <c r="CE39" s="79">
        <v>11.5</v>
      </c>
      <c r="CF39" s="79">
        <v>94.45</v>
      </c>
      <c r="CG39" s="88">
        <v>258</v>
      </c>
      <c r="CH39" s="94" t="s">
        <v>0</v>
      </c>
      <c r="CI39" s="94" t="s">
        <v>0</v>
      </c>
      <c r="CJ39" s="79">
        <v>4238</v>
      </c>
      <c r="CK39" s="97">
        <v>4225</v>
      </c>
      <c r="CL39" s="79">
        <v>783</v>
      </c>
      <c r="CM39" s="91">
        <v>2</v>
      </c>
      <c r="CN39" s="79">
        <v>16180</v>
      </c>
      <c r="CO39" s="79">
        <v>0.5089</v>
      </c>
      <c r="CP39" s="56" t="s">
        <v>0</v>
      </c>
      <c r="CQ39" s="79" t="s">
        <v>0</v>
      </c>
      <c r="CR39" s="62">
        <f>AR39/AS39*100</f>
        <v>55.0505050505051</v>
      </c>
      <c r="CS39" s="94" t="s">
        <v>0</v>
      </c>
      <c r="CT39" s="94" t="s">
        <v>0</v>
      </c>
      <c r="CU39" s="62" t="s">
        <v>0</v>
      </c>
      <c r="CV39" s="94" t="s">
        <v>0</v>
      </c>
      <c r="CW39" s="79">
        <v>97.86</v>
      </c>
      <c r="CX39" s="79">
        <v>7.77</v>
      </c>
      <c r="CY39" s="79">
        <v>6700</v>
      </c>
      <c r="CZ39" s="94" t="s">
        <v>0</v>
      </c>
      <c r="DA39" s="94">
        <v>65</v>
      </c>
      <c r="DB39" s="79">
        <v>97</v>
      </c>
      <c r="DC39" s="79">
        <v>85</v>
      </c>
      <c r="DD39" s="97">
        <v>95.89</v>
      </c>
      <c r="DE39" s="94" t="s">
        <v>0</v>
      </c>
      <c r="DF39" s="79">
        <v>51</v>
      </c>
      <c r="DG39" s="79">
        <v>51</v>
      </c>
      <c r="DH39" s="94" t="s">
        <v>0</v>
      </c>
      <c r="DI39" s="79">
        <v>32</v>
      </c>
      <c r="DJ39" s="94" t="s">
        <v>0</v>
      </c>
      <c r="DK39" s="104">
        <v>3800</v>
      </c>
      <c r="DL39" s="104">
        <v>3899</v>
      </c>
      <c r="DM39" s="98">
        <v>2.60526315789474</v>
      </c>
      <c r="DN39" s="104">
        <v>0</v>
      </c>
      <c r="DO39" s="104">
        <v>2</v>
      </c>
      <c r="DP39" s="98" t="e">
        <f t="shared" si="13"/>
        <v>#DIV/0!</v>
      </c>
      <c r="DQ39" s="104">
        <v>0</v>
      </c>
    </row>
  </sheetData>
  <mergeCells count="104">
    <mergeCell ref="C1:E1"/>
    <mergeCell ref="H1:K1"/>
    <mergeCell ref="L1:M1"/>
    <mergeCell ref="S1:V1"/>
    <mergeCell ref="AA1:AB1"/>
    <mergeCell ref="AG1:AI1"/>
    <mergeCell ref="AJ1:AL1"/>
    <mergeCell ref="DK1:DL1"/>
    <mergeCell ref="DN1:DO1"/>
    <mergeCell ref="A1:A3"/>
    <mergeCell ref="B1:B3"/>
    <mergeCell ref="F1:F2"/>
    <mergeCell ref="G1:G2"/>
    <mergeCell ref="N1:N2"/>
    <mergeCell ref="O1:O2"/>
    <mergeCell ref="P1:P2"/>
    <mergeCell ref="Q1:Q2"/>
    <mergeCell ref="R1:R2"/>
    <mergeCell ref="W1:W2"/>
    <mergeCell ref="X1:X2"/>
    <mergeCell ref="Y1:Y2"/>
    <mergeCell ref="Z1:Z2"/>
    <mergeCell ref="AC1:AC2"/>
    <mergeCell ref="AD1:AD2"/>
    <mergeCell ref="AE1:AE2"/>
    <mergeCell ref="AF1:AF2"/>
    <mergeCell ref="AM1:AM2"/>
    <mergeCell ref="AN1:AN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M1:DM2"/>
    <mergeCell ref="DP1:DP2"/>
    <mergeCell ref="DQ1:DQ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8"/>
  <sheetViews>
    <sheetView workbookViewId="0">
      <selection activeCell="AK1" sqref="AK1:AK2"/>
    </sheetView>
  </sheetViews>
  <sheetFormatPr defaultColWidth="9.02884615384615" defaultRowHeight="16.8"/>
  <sheetData>
    <row r="1" s="1" customFormat="1" ht="14.25" customHeight="1" spans="1:44">
      <c r="A1" s="3" t="s">
        <v>208</v>
      </c>
      <c r="B1" s="4" t="s">
        <v>209</v>
      </c>
      <c r="C1" s="5" t="s">
        <v>210</v>
      </c>
      <c r="D1" s="6" t="s">
        <v>211</v>
      </c>
      <c r="E1" s="5" t="s">
        <v>212</v>
      </c>
      <c r="F1" s="5" t="s">
        <v>213</v>
      </c>
      <c r="G1" s="5" t="s">
        <v>214</v>
      </c>
      <c r="H1" s="5" t="s">
        <v>215</v>
      </c>
      <c r="I1" s="6" t="s">
        <v>12</v>
      </c>
      <c r="J1" s="6"/>
      <c r="K1" s="6"/>
      <c r="L1" s="7" t="s">
        <v>216</v>
      </c>
      <c r="M1" s="6" t="s">
        <v>217</v>
      </c>
      <c r="N1" s="6"/>
      <c r="O1" s="6"/>
      <c r="P1" s="6"/>
      <c r="Q1" s="6" t="s">
        <v>218</v>
      </c>
      <c r="R1" s="6" t="s">
        <v>219</v>
      </c>
      <c r="S1" s="6" t="s">
        <v>220</v>
      </c>
      <c r="T1" s="6" t="s">
        <v>221</v>
      </c>
      <c r="U1" s="6" t="s">
        <v>222</v>
      </c>
      <c r="V1" s="5" t="s">
        <v>223</v>
      </c>
      <c r="W1" s="8" t="s">
        <v>224</v>
      </c>
      <c r="X1" s="8"/>
      <c r="Y1" s="8" t="s">
        <v>225</v>
      </c>
      <c r="Z1" s="8"/>
      <c r="AA1" s="6" t="s">
        <v>226</v>
      </c>
      <c r="AB1" s="5" t="s">
        <v>227</v>
      </c>
      <c r="AC1" s="5" t="s">
        <v>228</v>
      </c>
      <c r="AD1" s="5" t="s">
        <v>229</v>
      </c>
      <c r="AE1" s="5" t="s">
        <v>230</v>
      </c>
      <c r="AF1" s="5" t="s">
        <v>231</v>
      </c>
      <c r="AG1" s="6" t="s">
        <v>232</v>
      </c>
      <c r="AH1" s="5" t="s">
        <v>233</v>
      </c>
      <c r="AI1" s="5" t="s">
        <v>234</v>
      </c>
      <c r="AJ1" s="5" t="s">
        <v>235</v>
      </c>
      <c r="AK1" s="5" t="s">
        <v>236</v>
      </c>
      <c r="AL1" s="5" t="s">
        <v>81</v>
      </c>
      <c r="AM1" s="5" t="s">
        <v>82</v>
      </c>
      <c r="AN1" s="5" t="s">
        <v>89</v>
      </c>
      <c r="AO1" s="5" t="s">
        <v>90</v>
      </c>
      <c r="AP1" s="5" t="s">
        <v>91</v>
      </c>
      <c r="AQ1" s="6" t="s">
        <v>237</v>
      </c>
      <c r="AR1" s="9" t="s">
        <v>238</v>
      </c>
    </row>
    <row r="2" s="1" customFormat="1" ht="176" spans="1:44">
      <c r="A2" s="3"/>
      <c r="B2" s="4"/>
      <c r="C2" s="5"/>
      <c r="D2" s="6" t="s">
        <v>126</v>
      </c>
      <c r="E2" s="5"/>
      <c r="F2" s="5"/>
      <c r="G2" s="5" t="s">
        <v>126</v>
      </c>
      <c r="H2" s="5" t="s">
        <v>126</v>
      </c>
      <c r="I2" s="6" t="s">
        <v>239</v>
      </c>
      <c r="J2" s="6" t="s">
        <v>240</v>
      </c>
      <c r="K2" s="6" t="s">
        <v>241</v>
      </c>
      <c r="L2" s="10" t="s">
        <v>242</v>
      </c>
      <c r="M2" s="6" t="s">
        <v>243</v>
      </c>
      <c r="N2" s="6" t="s">
        <v>244</v>
      </c>
      <c r="O2" s="6" t="s">
        <v>245</v>
      </c>
      <c r="P2" s="6" t="s">
        <v>246</v>
      </c>
      <c r="Q2" s="6"/>
      <c r="R2" s="6"/>
      <c r="S2" s="6"/>
      <c r="T2" s="6"/>
      <c r="U2" s="6"/>
      <c r="V2" s="5"/>
      <c r="W2" s="5" t="s">
        <v>247</v>
      </c>
      <c r="X2" s="5" t="s">
        <v>248</v>
      </c>
      <c r="Y2" s="5" t="s">
        <v>247</v>
      </c>
      <c r="Z2" s="5" t="s">
        <v>248</v>
      </c>
      <c r="AA2" s="6" t="s">
        <v>249</v>
      </c>
      <c r="AB2" s="5"/>
      <c r="AC2" s="5"/>
      <c r="AD2" s="5"/>
      <c r="AE2" s="5"/>
      <c r="AF2" s="5"/>
      <c r="AG2" s="6"/>
      <c r="AH2" s="5"/>
      <c r="AI2" s="5"/>
      <c r="AJ2" s="5"/>
      <c r="AK2" s="5"/>
      <c r="AL2" s="5"/>
      <c r="AM2" s="5"/>
      <c r="AN2" s="5"/>
      <c r="AO2" s="5"/>
      <c r="AP2" s="5"/>
      <c r="AQ2" s="6"/>
      <c r="AR2" s="9"/>
    </row>
    <row r="3" s="1" customFormat="1" spans="1:44">
      <c r="A3" s="3"/>
      <c r="B3" s="4"/>
      <c r="C3" s="11" t="s">
        <v>250</v>
      </c>
      <c r="D3" s="11" t="s">
        <v>130</v>
      </c>
      <c r="E3" s="11" t="s">
        <v>130</v>
      </c>
      <c r="F3" s="11" t="s">
        <v>136</v>
      </c>
      <c r="G3" s="11" t="s">
        <v>251</v>
      </c>
      <c r="H3" s="11" t="s">
        <v>132</v>
      </c>
      <c r="I3" s="11" t="s">
        <v>132</v>
      </c>
      <c r="J3" s="11" t="s">
        <v>132</v>
      </c>
      <c r="K3" s="11" t="s">
        <v>132</v>
      </c>
      <c r="L3" s="11" t="s">
        <v>130</v>
      </c>
      <c r="M3" s="11" t="s">
        <v>252</v>
      </c>
      <c r="N3" s="11" t="s">
        <v>252</v>
      </c>
      <c r="O3" s="11" t="s">
        <v>252</v>
      </c>
      <c r="P3" s="11" t="s">
        <v>252</v>
      </c>
      <c r="Q3" s="11" t="s">
        <v>252</v>
      </c>
      <c r="R3" s="11" t="s">
        <v>252</v>
      </c>
      <c r="S3" s="11" t="s">
        <v>139</v>
      </c>
      <c r="T3" s="11" t="s">
        <v>139</v>
      </c>
      <c r="U3" s="11" t="s">
        <v>137</v>
      </c>
      <c r="V3" s="11" t="s">
        <v>137</v>
      </c>
      <c r="W3" s="11" t="s">
        <v>136</v>
      </c>
      <c r="X3" s="11" t="s">
        <v>136</v>
      </c>
      <c r="Y3" s="11" t="s">
        <v>130</v>
      </c>
      <c r="Z3" s="11" t="s">
        <v>130</v>
      </c>
      <c r="AA3" s="11" t="s">
        <v>129</v>
      </c>
      <c r="AB3" s="11" t="s">
        <v>132</v>
      </c>
      <c r="AC3" s="11" t="s">
        <v>252</v>
      </c>
      <c r="AD3" s="11" t="s">
        <v>139</v>
      </c>
      <c r="AE3" s="11" t="s">
        <v>132</v>
      </c>
      <c r="AF3" s="11" t="s">
        <v>132</v>
      </c>
      <c r="AG3" s="11" t="s">
        <v>253</v>
      </c>
      <c r="AH3" s="11" t="s">
        <v>253</v>
      </c>
      <c r="AI3" s="11" t="s">
        <v>139</v>
      </c>
      <c r="AJ3" s="11" t="s">
        <v>139</v>
      </c>
      <c r="AK3" s="11" t="s">
        <v>136</v>
      </c>
      <c r="AL3" s="11" t="s">
        <v>147</v>
      </c>
      <c r="AM3" s="11" t="s">
        <v>148</v>
      </c>
      <c r="AN3" s="11" t="s">
        <v>139</v>
      </c>
      <c r="AO3" s="11" t="s">
        <v>139</v>
      </c>
      <c r="AP3" s="11" t="s">
        <v>139</v>
      </c>
      <c r="AQ3" s="11" t="s">
        <v>130</v>
      </c>
    </row>
    <row r="4" s="2" customFormat="1" ht="17.6" spans="1:44">
      <c r="A4" s="12" t="s">
        <v>152</v>
      </c>
      <c r="B4" s="13" t="s">
        <v>153</v>
      </c>
      <c r="C4" s="14">
        <v>11917</v>
      </c>
      <c r="D4" s="15">
        <v>1516.81</v>
      </c>
      <c r="E4" s="14">
        <v>1016.7</v>
      </c>
      <c r="F4" s="14">
        <v>33340</v>
      </c>
      <c r="G4" s="14">
        <v>59490</v>
      </c>
      <c r="H4" s="14">
        <v>2884.6993</v>
      </c>
      <c r="I4" s="15">
        <v>259.56</v>
      </c>
      <c r="J4" s="15">
        <v>517.01</v>
      </c>
      <c r="K4" s="15">
        <v>161.33</v>
      </c>
      <c r="L4" s="14">
        <v>427.0834</v>
      </c>
      <c r="M4" s="15">
        <v>24290</v>
      </c>
      <c r="N4" s="15">
        <v>7943</v>
      </c>
      <c r="O4" s="15">
        <v>13739</v>
      </c>
      <c r="P4" s="15">
        <v>4645</v>
      </c>
      <c r="Q4" s="15">
        <v>31506</v>
      </c>
      <c r="R4" s="15">
        <v>17014</v>
      </c>
      <c r="S4" s="16">
        <f t="shared" ref="S4:S6" si="0">N4/M4*100</f>
        <v>32.7006998764924</v>
      </c>
      <c r="T4" s="16">
        <f t="shared" ref="T3:T6" si="1">P4/O4*100</f>
        <v>33.8088652740374</v>
      </c>
      <c r="U4" s="15">
        <v>356.6</v>
      </c>
      <c r="V4" s="14">
        <v>1014</v>
      </c>
      <c r="W4" s="14">
        <v>38968</v>
      </c>
      <c r="X4" s="14">
        <v>42140</v>
      </c>
      <c r="Y4" s="14">
        <v>57.32</v>
      </c>
      <c r="Z4" s="14">
        <v>43.86</v>
      </c>
      <c r="AA4" s="15">
        <v>31</v>
      </c>
      <c r="AB4" s="14">
        <v>15726.93</v>
      </c>
      <c r="AC4" s="14">
        <v>105231</v>
      </c>
      <c r="AD4" s="14">
        <v>10</v>
      </c>
      <c r="AE4" s="14">
        <v>11626.2649</v>
      </c>
      <c r="AF4" s="14">
        <v>4738.6543</v>
      </c>
      <c r="AG4" s="15">
        <v>13391200</v>
      </c>
      <c r="AH4" s="14">
        <v>1886676</v>
      </c>
      <c r="AI4" s="14">
        <v>49.38</v>
      </c>
      <c r="AJ4" s="14">
        <v>49.34</v>
      </c>
      <c r="AK4" s="14">
        <v>225236</v>
      </c>
      <c r="AL4" s="14">
        <v>15.78</v>
      </c>
      <c r="AM4" s="14">
        <v>13.41</v>
      </c>
      <c r="AN4" s="14">
        <v>98.91</v>
      </c>
      <c r="AO4" s="14">
        <v>96.23</v>
      </c>
      <c r="AP4" s="14">
        <v>100</v>
      </c>
      <c r="AQ4" s="15">
        <v>877.21</v>
      </c>
      <c r="AR4" s="17">
        <f t="shared" ref="AR3:AR25" si="2">AK4/(AK4+L4*10000)*100</f>
        <v>5.00961951215172</v>
      </c>
    </row>
    <row r="5" s="2" customFormat="1" ht="17.6" spans="1:44">
      <c r="A5" s="12" t="s">
        <v>155</v>
      </c>
      <c r="B5" s="18" t="s">
        <v>156</v>
      </c>
      <c r="C5" s="14">
        <v>13109</v>
      </c>
      <c r="D5" s="15">
        <v>1061.62</v>
      </c>
      <c r="E5" s="14">
        <v>1024.9</v>
      </c>
      <c r="F5" s="14">
        <v>25523</v>
      </c>
      <c r="G5" s="14">
        <v>45772</v>
      </c>
      <c r="H5" s="14">
        <v>566.4878</v>
      </c>
      <c r="I5" s="15">
        <v>48.4278</v>
      </c>
      <c r="J5" s="15">
        <v>120.0899</v>
      </c>
      <c r="K5" s="15">
        <v>56.3599</v>
      </c>
      <c r="L5" s="14">
        <v>162.0818</v>
      </c>
      <c r="M5" s="15">
        <v>4341.09</v>
      </c>
      <c r="N5" s="15">
        <v>3162.86</v>
      </c>
      <c r="O5" s="15">
        <v>2195.45</v>
      </c>
      <c r="P5" s="15">
        <v>1671.23</v>
      </c>
      <c r="Q5" s="15">
        <v>26071.11</v>
      </c>
      <c r="R5" s="15">
        <v>10541.72</v>
      </c>
      <c r="S5" s="16">
        <f t="shared" si="0"/>
        <v>72.8586599218169</v>
      </c>
      <c r="T5" s="16">
        <f t="shared" si="1"/>
        <v>76.1224350360974</v>
      </c>
      <c r="U5" s="15" t="s">
        <v>0</v>
      </c>
      <c r="V5" s="14">
        <v>214</v>
      </c>
      <c r="W5" s="14">
        <v>40817</v>
      </c>
      <c r="X5" s="14">
        <v>33704</v>
      </c>
      <c r="Y5" s="14">
        <v>68.1</v>
      </c>
      <c r="Z5" s="14">
        <v>44.22</v>
      </c>
      <c r="AA5" s="15">
        <v>25</v>
      </c>
      <c r="AB5" s="14">
        <v>5170.2653</v>
      </c>
      <c r="AC5" s="14">
        <v>48970</v>
      </c>
      <c r="AD5" s="14">
        <v>7.9</v>
      </c>
      <c r="AE5" s="14">
        <v>4883.9608</v>
      </c>
      <c r="AF5" s="14">
        <v>2423.4663</v>
      </c>
      <c r="AG5" s="15">
        <v>1430000</v>
      </c>
      <c r="AH5" s="14">
        <v>102189</v>
      </c>
      <c r="AI5" s="14">
        <v>46.76</v>
      </c>
      <c r="AJ5" s="14">
        <v>43.81</v>
      </c>
      <c r="AK5" s="14">
        <v>53409</v>
      </c>
      <c r="AL5" s="14">
        <v>12.83</v>
      </c>
      <c r="AM5" s="14">
        <v>11.68</v>
      </c>
      <c r="AN5" s="14">
        <v>95.1</v>
      </c>
      <c r="AO5" s="14">
        <v>71.98</v>
      </c>
      <c r="AP5" s="14">
        <v>95.85</v>
      </c>
      <c r="AQ5" s="15" t="s">
        <v>0</v>
      </c>
      <c r="AR5" s="17">
        <f t="shared" si="2"/>
        <v>3.19006920805841</v>
      </c>
    </row>
    <row r="6" s="2" customFormat="1" ht="17.6" spans="1:44">
      <c r="A6" s="12" t="s">
        <v>155</v>
      </c>
      <c r="B6" s="18" t="s">
        <v>158</v>
      </c>
      <c r="C6" s="14">
        <v>13472</v>
      </c>
      <c r="D6" s="15">
        <v>776.82</v>
      </c>
      <c r="E6" s="14">
        <v>753.2</v>
      </c>
      <c r="F6" s="14">
        <v>17724</v>
      </c>
      <c r="G6" s="14">
        <v>36881</v>
      </c>
      <c r="H6" s="14">
        <v>524.6569</v>
      </c>
      <c r="I6" s="15">
        <v>55.5563</v>
      </c>
      <c r="J6" s="15">
        <v>108.9918</v>
      </c>
      <c r="K6" s="15">
        <v>48.5108</v>
      </c>
      <c r="L6" s="14">
        <v>136.1816</v>
      </c>
      <c r="M6" s="15">
        <v>19427</v>
      </c>
      <c r="N6" s="15">
        <v>4916</v>
      </c>
      <c r="O6" s="15">
        <v>10561</v>
      </c>
      <c r="P6" s="15">
        <v>3118</v>
      </c>
      <c r="Q6" s="15">
        <v>28891</v>
      </c>
      <c r="R6" s="15">
        <v>12867</v>
      </c>
      <c r="S6" s="16">
        <f t="shared" si="0"/>
        <v>25.3049879034334</v>
      </c>
      <c r="T6" s="16">
        <f t="shared" si="1"/>
        <v>29.523719344759</v>
      </c>
      <c r="U6" s="15">
        <v>232.6408</v>
      </c>
      <c r="V6" s="14">
        <v>138</v>
      </c>
      <c r="W6" s="14">
        <v>31281</v>
      </c>
      <c r="X6" s="14">
        <v>29139</v>
      </c>
      <c r="Y6" s="14">
        <v>47.98</v>
      </c>
      <c r="Z6" s="14">
        <v>33.33</v>
      </c>
      <c r="AA6" s="15">
        <v>13</v>
      </c>
      <c r="AB6" s="14">
        <v>6225.3023</v>
      </c>
      <c r="AC6" s="14">
        <v>80450</v>
      </c>
      <c r="AD6" s="14">
        <v>5.1</v>
      </c>
      <c r="AE6" s="14">
        <v>4146.2408</v>
      </c>
      <c r="AF6" s="14">
        <v>1957.1127</v>
      </c>
      <c r="AG6" s="15">
        <v>1676200</v>
      </c>
      <c r="AH6" s="14">
        <v>140687</v>
      </c>
      <c r="AI6" s="14">
        <v>57.75</v>
      </c>
      <c r="AJ6" s="14">
        <v>33.27</v>
      </c>
      <c r="AK6" s="14">
        <v>66922</v>
      </c>
      <c r="AL6" s="14">
        <v>9.4</v>
      </c>
      <c r="AM6" s="14">
        <v>7.44</v>
      </c>
      <c r="AN6" s="14">
        <v>70</v>
      </c>
      <c r="AO6" s="14">
        <v>100</v>
      </c>
      <c r="AP6" s="14">
        <v>95</v>
      </c>
      <c r="AQ6" s="15">
        <v>450.53</v>
      </c>
      <c r="AR6" s="17">
        <f t="shared" si="2"/>
        <v>4.68399384631752</v>
      </c>
    </row>
    <row r="7" s="2" customFormat="1" ht="17.6" spans="1:44">
      <c r="A7" s="12" t="s">
        <v>155</v>
      </c>
      <c r="B7" s="18" t="s">
        <v>160</v>
      </c>
      <c r="C7" s="14">
        <v>7802</v>
      </c>
      <c r="D7" s="14">
        <v>306.45</v>
      </c>
      <c r="E7" s="14">
        <v>295.1</v>
      </c>
      <c r="F7" s="14">
        <v>8222</v>
      </c>
      <c r="G7" s="14">
        <v>16516</v>
      </c>
      <c r="H7" s="14">
        <v>211.9627</v>
      </c>
      <c r="I7" s="14">
        <v>19.5294</v>
      </c>
      <c r="J7" s="14">
        <v>35.8495</v>
      </c>
      <c r="K7" s="14">
        <v>23.5432</v>
      </c>
      <c r="L7" s="14">
        <v>50.4114</v>
      </c>
      <c r="M7" s="14">
        <v>15134</v>
      </c>
      <c r="N7" s="15" t="s">
        <v>0</v>
      </c>
      <c r="O7" s="14">
        <v>8051</v>
      </c>
      <c r="P7" s="15" t="s">
        <v>0</v>
      </c>
      <c r="Q7" s="14">
        <v>26053</v>
      </c>
      <c r="R7" s="14">
        <v>9964</v>
      </c>
      <c r="S7" s="16" t="s">
        <v>0</v>
      </c>
      <c r="T7" s="16" t="s">
        <v>0</v>
      </c>
      <c r="U7" s="15" t="s">
        <v>0</v>
      </c>
      <c r="V7" s="14">
        <v>61</v>
      </c>
      <c r="W7" s="14">
        <v>14296</v>
      </c>
      <c r="X7" s="14">
        <v>12023</v>
      </c>
      <c r="Y7" s="14">
        <v>18.8</v>
      </c>
      <c r="Z7" s="14">
        <v>12.8</v>
      </c>
      <c r="AA7" s="14">
        <v>6</v>
      </c>
      <c r="AB7" s="14">
        <v>1200.0219</v>
      </c>
      <c r="AC7" s="14">
        <v>39282</v>
      </c>
      <c r="AD7" s="14">
        <v>5</v>
      </c>
      <c r="AE7" s="14">
        <v>791.6533</v>
      </c>
      <c r="AF7" s="14">
        <v>577.5688</v>
      </c>
      <c r="AG7" s="14">
        <v>431300</v>
      </c>
      <c r="AH7" s="14">
        <v>81211</v>
      </c>
      <c r="AI7" s="14">
        <v>37.44</v>
      </c>
      <c r="AJ7" s="14">
        <v>48.01</v>
      </c>
      <c r="AK7" s="14">
        <v>23249</v>
      </c>
      <c r="AL7" s="14">
        <v>21.83</v>
      </c>
      <c r="AM7" s="14">
        <v>9.1</v>
      </c>
      <c r="AN7" s="14">
        <v>65</v>
      </c>
      <c r="AO7" s="14">
        <v>157.94</v>
      </c>
      <c r="AP7" s="14">
        <v>98.38</v>
      </c>
      <c r="AQ7" s="15" t="s">
        <v>0</v>
      </c>
      <c r="AR7" s="17">
        <f t="shared" si="2"/>
        <v>4.40853833128225</v>
      </c>
    </row>
    <row r="8" s="2" customFormat="1" ht="17.6" spans="1:44">
      <c r="A8" s="12" t="s">
        <v>155</v>
      </c>
      <c r="B8" s="18" t="s">
        <v>162</v>
      </c>
      <c r="C8" s="14">
        <v>12065</v>
      </c>
      <c r="D8" s="14">
        <v>937.39</v>
      </c>
      <c r="E8" s="14">
        <v>1029.5</v>
      </c>
      <c r="F8" s="14">
        <v>16845</v>
      </c>
      <c r="G8" s="14">
        <v>38463</v>
      </c>
      <c r="H8" s="14">
        <v>404.6724</v>
      </c>
      <c r="I8" s="15">
        <v>42.614</v>
      </c>
      <c r="J8" s="15">
        <v>90.5434</v>
      </c>
      <c r="K8" s="15">
        <v>46.7037</v>
      </c>
      <c r="L8" s="14">
        <v>201.757</v>
      </c>
      <c r="M8" s="15">
        <v>13048</v>
      </c>
      <c r="N8" s="15" t="s">
        <v>0</v>
      </c>
      <c r="O8" s="15">
        <v>6736</v>
      </c>
      <c r="P8" s="15" t="s">
        <v>0</v>
      </c>
      <c r="Q8" s="15">
        <v>22699</v>
      </c>
      <c r="R8" s="15">
        <v>10343</v>
      </c>
      <c r="S8" s="16" t="s">
        <v>0</v>
      </c>
      <c r="T8" s="16" t="s">
        <v>0</v>
      </c>
      <c r="U8" s="15">
        <v>268.3959</v>
      </c>
      <c r="V8" s="14">
        <v>108</v>
      </c>
      <c r="W8" s="14">
        <v>44105</v>
      </c>
      <c r="X8" s="14">
        <v>32719</v>
      </c>
      <c r="Y8" s="14">
        <v>92.3</v>
      </c>
      <c r="Z8" s="14">
        <v>47.23</v>
      </c>
      <c r="AA8" s="15">
        <v>5</v>
      </c>
      <c r="AB8" s="14">
        <v>3080.0054</v>
      </c>
      <c r="AC8" s="14">
        <v>32943</v>
      </c>
      <c r="AD8" s="14">
        <v>6.5</v>
      </c>
      <c r="AE8" s="14">
        <v>3090.7369</v>
      </c>
      <c r="AF8" s="14">
        <v>1242.3665</v>
      </c>
      <c r="AG8" s="15">
        <v>357421</v>
      </c>
      <c r="AH8" s="14">
        <v>92540</v>
      </c>
      <c r="AI8" s="14">
        <v>50.11</v>
      </c>
      <c r="AJ8" s="14">
        <v>36.8</v>
      </c>
      <c r="AK8" s="14">
        <v>53508</v>
      </c>
      <c r="AL8" s="14">
        <v>17.96</v>
      </c>
      <c r="AM8" s="14">
        <v>16.17</v>
      </c>
      <c r="AN8" s="14">
        <v>95</v>
      </c>
      <c r="AO8" s="14">
        <v>100</v>
      </c>
      <c r="AP8" s="14">
        <v>97.56</v>
      </c>
      <c r="AQ8" s="15">
        <v>626.03</v>
      </c>
      <c r="AR8" s="17">
        <f t="shared" si="2"/>
        <v>2.58358207658041</v>
      </c>
    </row>
    <row r="9" s="2" customFormat="1" ht="17.6" spans="1:44">
      <c r="A9" s="12" t="s">
        <v>155</v>
      </c>
      <c r="B9" s="18" t="s">
        <v>164</v>
      </c>
      <c r="C9" s="14">
        <v>12433</v>
      </c>
      <c r="D9" s="15">
        <v>725.63</v>
      </c>
      <c r="E9" s="14">
        <v>772.9</v>
      </c>
      <c r="F9" s="14">
        <v>14825</v>
      </c>
      <c r="G9" s="14">
        <v>29338</v>
      </c>
      <c r="H9" s="14">
        <v>294.6228</v>
      </c>
      <c r="I9" s="15">
        <v>27.929</v>
      </c>
      <c r="J9" s="15">
        <v>56.4415</v>
      </c>
      <c r="K9" s="15">
        <v>37.6543</v>
      </c>
      <c r="L9" s="14">
        <v>94.3535</v>
      </c>
      <c r="M9" s="15">
        <v>11465</v>
      </c>
      <c r="N9" s="15">
        <v>3360</v>
      </c>
      <c r="O9" s="15">
        <v>5557</v>
      </c>
      <c r="P9" s="15">
        <v>1771</v>
      </c>
      <c r="Q9" s="15">
        <v>20007</v>
      </c>
      <c r="R9" s="15">
        <v>8342</v>
      </c>
      <c r="S9" s="16">
        <f t="shared" ref="S9:S13" si="3">N9/M9*100</f>
        <v>29.3065852594854</v>
      </c>
      <c r="T9" s="16">
        <f t="shared" ref="T9:T13" si="4">P9/O9*100</f>
        <v>31.8697138743927</v>
      </c>
      <c r="U9" s="15">
        <v>230.4897</v>
      </c>
      <c r="V9" s="14">
        <v>92</v>
      </c>
      <c r="W9" s="14">
        <v>34708</v>
      </c>
      <c r="X9" s="14">
        <v>23763</v>
      </c>
      <c r="Y9" s="14">
        <v>58.66</v>
      </c>
      <c r="Z9" s="14">
        <v>34.07</v>
      </c>
      <c r="AA9" s="15">
        <v>20</v>
      </c>
      <c r="AB9" s="14">
        <v>1646.9408</v>
      </c>
      <c r="AC9" s="14">
        <v>22758</v>
      </c>
      <c r="AD9" s="14">
        <v>6</v>
      </c>
      <c r="AE9" s="14">
        <v>1647.0795</v>
      </c>
      <c r="AF9" s="14">
        <v>796.1821</v>
      </c>
      <c r="AG9" s="15">
        <v>207600</v>
      </c>
      <c r="AH9" s="14">
        <v>48600</v>
      </c>
      <c r="AI9" s="14">
        <v>47.36</v>
      </c>
      <c r="AJ9" s="14">
        <v>36.04</v>
      </c>
      <c r="AK9" s="14">
        <v>20852</v>
      </c>
      <c r="AL9" s="14">
        <v>16.66</v>
      </c>
      <c r="AM9" s="14">
        <v>21.57</v>
      </c>
      <c r="AN9" s="14">
        <v>95.29</v>
      </c>
      <c r="AO9" s="14">
        <v>99.02</v>
      </c>
      <c r="AP9" s="14">
        <v>93.28</v>
      </c>
      <c r="AQ9" s="15">
        <v>410.99</v>
      </c>
      <c r="AR9" s="17">
        <f t="shared" si="2"/>
        <v>2.16220251828363</v>
      </c>
    </row>
    <row r="10" s="2" customFormat="1" ht="17.6" spans="1:44">
      <c r="A10" s="12" t="s">
        <v>155</v>
      </c>
      <c r="B10" s="18" t="s">
        <v>165</v>
      </c>
      <c r="C10" s="14">
        <v>22185</v>
      </c>
      <c r="D10" s="15">
        <v>1029.5</v>
      </c>
      <c r="E10" s="14">
        <v>1196.6</v>
      </c>
      <c r="F10" s="14">
        <v>21287</v>
      </c>
      <c r="G10" s="14">
        <v>37012</v>
      </c>
      <c r="H10" s="14">
        <v>457.5943</v>
      </c>
      <c r="I10" s="15">
        <v>56.8579</v>
      </c>
      <c r="J10" s="15">
        <v>80.1844</v>
      </c>
      <c r="K10" s="15">
        <v>52.6611</v>
      </c>
      <c r="L10" s="14">
        <v>148.3408</v>
      </c>
      <c r="M10" s="15">
        <v>12680.55</v>
      </c>
      <c r="N10" s="15">
        <v>3223.6</v>
      </c>
      <c r="O10" s="15">
        <v>6687.19</v>
      </c>
      <c r="P10" s="15">
        <v>1830.62</v>
      </c>
      <c r="Q10" s="15">
        <v>21750.58</v>
      </c>
      <c r="R10" s="15">
        <v>9573.14</v>
      </c>
      <c r="S10" s="16">
        <f t="shared" si="3"/>
        <v>25.4216102613846</v>
      </c>
      <c r="T10" s="16">
        <f t="shared" si="4"/>
        <v>27.3750259825128</v>
      </c>
      <c r="U10" s="15">
        <v>379.8983</v>
      </c>
      <c r="V10" s="14">
        <v>174</v>
      </c>
      <c r="W10" s="14">
        <v>44290</v>
      </c>
      <c r="X10" s="14">
        <v>38189</v>
      </c>
      <c r="Y10" s="14">
        <v>90.92</v>
      </c>
      <c r="Z10" s="14">
        <v>53.54</v>
      </c>
      <c r="AA10" s="14">
        <v>23</v>
      </c>
      <c r="AB10" s="14">
        <v>3035.2036</v>
      </c>
      <c r="AC10" s="14">
        <v>26501</v>
      </c>
      <c r="AD10" s="14">
        <v>7.1</v>
      </c>
      <c r="AE10" s="14">
        <v>2386.4816</v>
      </c>
      <c r="AF10" s="14">
        <v>1501.8</v>
      </c>
      <c r="AG10" s="15">
        <v>529137</v>
      </c>
      <c r="AH10" s="14">
        <v>60585</v>
      </c>
      <c r="AI10" s="14">
        <v>51.5</v>
      </c>
      <c r="AJ10" s="14">
        <v>34.48</v>
      </c>
      <c r="AK10" s="14">
        <v>47699</v>
      </c>
      <c r="AL10" s="14">
        <v>22.76</v>
      </c>
      <c r="AM10" s="14">
        <v>21.19</v>
      </c>
      <c r="AN10" s="14">
        <v>86.2</v>
      </c>
      <c r="AO10" s="14">
        <v>82.37</v>
      </c>
      <c r="AP10" s="14">
        <v>91.39</v>
      </c>
      <c r="AQ10" s="15">
        <v>100.9</v>
      </c>
      <c r="AR10" s="17">
        <f t="shared" si="2"/>
        <v>3.11532766815121</v>
      </c>
    </row>
    <row r="11" s="2" customFormat="1" ht="17.6" spans="1:44">
      <c r="A11" s="12" t="s">
        <v>155</v>
      </c>
      <c r="B11" s="18" t="s">
        <v>166</v>
      </c>
      <c r="C11" s="14">
        <v>36873</v>
      </c>
      <c r="D11" s="14">
        <v>442.09</v>
      </c>
      <c r="E11" s="14">
        <v>468.6</v>
      </c>
      <c r="F11" s="14">
        <v>7352</v>
      </c>
      <c r="G11" s="14">
        <v>19006</v>
      </c>
      <c r="H11" s="14">
        <v>329.7137</v>
      </c>
      <c r="I11" s="14">
        <v>39.0845</v>
      </c>
      <c r="J11" s="14">
        <v>51.4549</v>
      </c>
      <c r="K11" s="14">
        <v>29.4387</v>
      </c>
      <c r="L11" s="14">
        <v>509.73</v>
      </c>
      <c r="M11" s="14">
        <v>13932</v>
      </c>
      <c r="N11" s="14">
        <v>4002.12</v>
      </c>
      <c r="O11" s="14">
        <v>5213</v>
      </c>
      <c r="P11" s="14">
        <v>1880.41</v>
      </c>
      <c r="Q11" s="14">
        <v>21651</v>
      </c>
      <c r="R11" s="14">
        <v>7462</v>
      </c>
      <c r="S11" s="16">
        <f t="shared" si="3"/>
        <v>28.7260981912145</v>
      </c>
      <c r="T11" s="16">
        <f t="shared" si="4"/>
        <v>36.071551889507</v>
      </c>
      <c r="U11" s="14">
        <v>187.5907</v>
      </c>
      <c r="V11" s="14">
        <v>56</v>
      </c>
      <c r="W11" s="14">
        <v>18939</v>
      </c>
      <c r="X11" s="14">
        <v>16483</v>
      </c>
      <c r="Y11" s="14">
        <v>29.11</v>
      </c>
      <c r="Z11" s="14">
        <v>19.75</v>
      </c>
      <c r="AA11" s="14">
        <v>16</v>
      </c>
      <c r="AB11" s="14">
        <v>1348.9726</v>
      </c>
      <c r="AC11" s="14">
        <v>30540</v>
      </c>
      <c r="AD11" s="14">
        <v>5.24</v>
      </c>
      <c r="AE11" s="14">
        <v>1402.0061</v>
      </c>
      <c r="AF11" s="14">
        <v>562.2033</v>
      </c>
      <c r="AG11" s="14">
        <v>52000</v>
      </c>
      <c r="AH11" s="14">
        <v>32518</v>
      </c>
      <c r="AI11" s="14">
        <v>42.66</v>
      </c>
      <c r="AJ11" s="14">
        <v>39.58</v>
      </c>
      <c r="AK11" s="14">
        <v>40124</v>
      </c>
      <c r="AL11" s="14">
        <v>15.07</v>
      </c>
      <c r="AM11" s="14">
        <v>15.69</v>
      </c>
      <c r="AN11" s="14">
        <v>44.1</v>
      </c>
      <c r="AO11" s="14">
        <v>88</v>
      </c>
      <c r="AP11" s="14">
        <v>91.6</v>
      </c>
      <c r="AQ11" s="15" t="s">
        <v>0</v>
      </c>
      <c r="AR11" s="17">
        <f t="shared" si="2"/>
        <v>0.781013986776252</v>
      </c>
    </row>
    <row r="12" s="2" customFormat="1" ht="17.6" spans="1:44">
      <c r="A12" s="12" t="s">
        <v>155</v>
      </c>
      <c r="B12" s="18" t="s">
        <v>167</v>
      </c>
      <c r="C12" s="14">
        <v>39490</v>
      </c>
      <c r="D12" s="15">
        <v>352.72</v>
      </c>
      <c r="E12" s="14">
        <v>380.7</v>
      </c>
      <c r="F12" s="14">
        <v>7982</v>
      </c>
      <c r="G12" s="14">
        <v>16572</v>
      </c>
      <c r="H12" s="14">
        <v>254.3206</v>
      </c>
      <c r="I12" s="15">
        <v>26.7748</v>
      </c>
      <c r="J12" s="15">
        <v>48.3336</v>
      </c>
      <c r="K12" s="15">
        <v>23.9804</v>
      </c>
      <c r="L12" s="14">
        <v>50.3933</v>
      </c>
      <c r="M12" s="15">
        <v>14113.74</v>
      </c>
      <c r="N12" s="15">
        <v>4234.28</v>
      </c>
      <c r="O12" s="15">
        <v>7696</v>
      </c>
      <c r="P12" s="15">
        <v>1789</v>
      </c>
      <c r="Q12" s="15">
        <v>20982.84</v>
      </c>
      <c r="R12" s="15">
        <v>7163</v>
      </c>
      <c r="S12" s="16">
        <f t="shared" si="3"/>
        <v>30.0011194764818</v>
      </c>
      <c r="T12" s="16">
        <f t="shared" si="4"/>
        <v>23.245841995842</v>
      </c>
      <c r="U12" s="15">
        <v>135.4473</v>
      </c>
      <c r="V12" s="14">
        <v>46</v>
      </c>
      <c r="W12" s="14">
        <v>16613</v>
      </c>
      <c r="X12" s="14">
        <v>12001</v>
      </c>
      <c r="Y12" s="14">
        <v>26.23</v>
      </c>
      <c r="Z12" s="14">
        <v>16.21</v>
      </c>
      <c r="AA12" s="14">
        <v>11</v>
      </c>
      <c r="AB12" s="14">
        <v>1342.55</v>
      </c>
      <c r="AC12" s="14">
        <v>38128</v>
      </c>
      <c r="AD12" s="14">
        <v>7.84</v>
      </c>
      <c r="AE12" s="14">
        <v>1402.7065</v>
      </c>
      <c r="AF12" s="14">
        <v>441.8912</v>
      </c>
      <c r="AG12" s="15">
        <v>64539</v>
      </c>
      <c r="AH12" s="14">
        <v>14940</v>
      </c>
      <c r="AI12" s="14">
        <v>49.98</v>
      </c>
      <c r="AJ12" s="14">
        <v>33.2</v>
      </c>
      <c r="AK12" s="14">
        <v>18481</v>
      </c>
      <c r="AL12" s="14">
        <v>12.37</v>
      </c>
      <c r="AM12" s="14">
        <v>11.12</v>
      </c>
      <c r="AN12" s="14">
        <v>6</v>
      </c>
      <c r="AO12" s="14">
        <v>88.41</v>
      </c>
      <c r="AP12" s="14">
        <v>92.34</v>
      </c>
      <c r="AQ12" s="15">
        <v>222.52</v>
      </c>
      <c r="AR12" s="17">
        <f t="shared" si="2"/>
        <v>3.53761576068023</v>
      </c>
    </row>
    <row r="13" s="2" customFormat="1" ht="17.6" spans="1:44">
      <c r="A13" s="12" t="s">
        <v>155</v>
      </c>
      <c r="B13" s="18" t="s">
        <v>168</v>
      </c>
      <c r="C13" s="14">
        <v>14035</v>
      </c>
      <c r="D13" s="14">
        <v>737.5</v>
      </c>
      <c r="E13" s="14">
        <v>768.4</v>
      </c>
      <c r="F13" s="14">
        <v>16009</v>
      </c>
      <c r="G13" s="14">
        <v>29628</v>
      </c>
      <c r="H13" s="14">
        <v>381.2703</v>
      </c>
      <c r="I13" s="14">
        <v>28.0976</v>
      </c>
      <c r="J13" s="14">
        <v>75.2865</v>
      </c>
      <c r="K13" s="14">
        <v>46.2237</v>
      </c>
      <c r="L13" s="14">
        <v>93.6459</v>
      </c>
      <c r="M13" s="19">
        <v>14951.44</v>
      </c>
      <c r="N13" s="19">
        <v>3722.43</v>
      </c>
      <c r="O13" s="19">
        <v>7135.57</v>
      </c>
      <c r="P13" s="19">
        <v>2170.85</v>
      </c>
      <c r="Q13" s="14">
        <v>24174</v>
      </c>
      <c r="R13" s="14">
        <v>9442</v>
      </c>
      <c r="S13" s="16">
        <f t="shared" si="3"/>
        <v>24.8967992380667</v>
      </c>
      <c r="T13" s="16">
        <f t="shared" si="4"/>
        <v>30.4229374808179</v>
      </c>
      <c r="U13" s="15" t="s">
        <v>0</v>
      </c>
      <c r="V13" s="14">
        <v>92</v>
      </c>
      <c r="W13" s="14">
        <v>37474</v>
      </c>
      <c r="X13" s="14">
        <v>23267</v>
      </c>
      <c r="Y13" s="14">
        <v>58.98</v>
      </c>
      <c r="Z13" s="14">
        <v>30.77</v>
      </c>
      <c r="AA13" s="14">
        <v>15</v>
      </c>
      <c r="AB13" s="14">
        <v>3133.3822</v>
      </c>
      <c r="AC13" s="14">
        <v>42676</v>
      </c>
      <c r="AD13" s="14">
        <v>8</v>
      </c>
      <c r="AE13" s="14">
        <v>2728.9276</v>
      </c>
      <c r="AF13" s="14">
        <v>1007.8974</v>
      </c>
      <c r="AG13" s="14">
        <v>310400</v>
      </c>
      <c r="AH13" s="14">
        <v>34242</v>
      </c>
      <c r="AI13" s="14">
        <v>51.97</v>
      </c>
      <c r="AJ13" s="14">
        <v>37.89</v>
      </c>
      <c r="AK13" s="14">
        <v>23594</v>
      </c>
      <c r="AL13" s="14">
        <v>17.78</v>
      </c>
      <c r="AM13" s="14">
        <v>27.96</v>
      </c>
      <c r="AN13" s="14">
        <v>99.88</v>
      </c>
      <c r="AO13" s="14">
        <v>93.55</v>
      </c>
      <c r="AP13" s="14">
        <v>99.04</v>
      </c>
      <c r="AQ13" s="15" t="s">
        <v>0</v>
      </c>
      <c r="AR13" s="17">
        <f t="shared" si="2"/>
        <v>2.45757265484301</v>
      </c>
    </row>
    <row r="14" s="2" customFormat="1" ht="17.6" spans="1:44">
      <c r="A14" s="12" t="s">
        <v>155</v>
      </c>
      <c r="B14" s="18" t="s">
        <v>170</v>
      </c>
      <c r="C14" s="14">
        <v>6382</v>
      </c>
      <c r="D14" s="14">
        <v>452.18</v>
      </c>
      <c r="E14" s="14">
        <v>450.4</v>
      </c>
      <c r="F14" s="14">
        <v>8895</v>
      </c>
      <c r="G14" s="14">
        <v>17958</v>
      </c>
      <c r="H14" s="14">
        <v>302.5103</v>
      </c>
      <c r="I14" s="14">
        <v>28.7313</v>
      </c>
      <c r="J14" s="14">
        <v>53.8175</v>
      </c>
      <c r="K14" s="14">
        <v>29.5321</v>
      </c>
      <c r="L14" s="14">
        <v>88.3261</v>
      </c>
      <c r="M14" s="15" t="s">
        <v>0</v>
      </c>
      <c r="N14" s="15" t="s">
        <v>0</v>
      </c>
      <c r="O14" s="15" t="s">
        <v>0</v>
      </c>
      <c r="P14" s="15" t="s">
        <v>0</v>
      </c>
      <c r="Q14" s="14">
        <v>29416</v>
      </c>
      <c r="R14" s="14">
        <v>12115</v>
      </c>
      <c r="S14" s="16" t="s">
        <v>0</v>
      </c>
      <c r="T14" s="16" t="s">
        <v>0</v>
      </c>
      <c r="U14" s="15" t="s">
        <v>0</v>
      </c>
      <c r="V14" s="14">
        <v>91</v>
      </c>
      <c r="W14" s="14">
        <v>22403</v>
      </c>
      <c r="X14" s="14">
        <v>15373</v>
      </c>
      <c r="Y14" s="14">
        <v>36.56</v>
      </c>
      <c r="Z14" s="14">
        <v>20.37</v>
      </c>
      <c r="AA14" s="14">
        <v>10</v>
      </c>
      <c r="AB14" s="14">
        <v>2175.9631</v>
      </c>
      <c r="AC14" s="14">
        <v>48407</v>
      </c>
      <c r="AD14" s="14">
        <v>8.2</v>
      </c>
      <c r="AE14" s="14">
        <v>1329.9134</v>
      </c>
      <c r="AF14" s="14">
        <v>723.6964</v>
      </c>
      <c r="AG14" s="14">
        <v>529366</v>
      </c>
      <c r="AH14" s="14">
        <v>71719</v>
      </c>
      <c r="AI14" s="14">
        <v>48.06</v>
      </c>
      <c r="AJ14" s="14">
        <v>42.5</v>
      </c>
      <c r="AK14" s="14">
        <v>10346</v>
      </c>
      <c r="AL14" s="14">
        <v>10.98</v>
      </c>
      <c r="AM14" s="14">
        <v>7.77</v>
      </c>
      <c r="AN14" s="14">
        <v>100</v>
      </c>
      <c r="AO14" s="14">
        <v>29.41</v>
      </c>
      <c r="AP14" s="14">
        <v>93.5</v>
      </c>
      <c r="AQ14" s="14">
        <v>260.306</v>
      </c>
      <c r="AR14" s="17">
        <f t="shared" si="2"/>
        <v>1.15777965033846</v>
      </c>
    </row>
    <row r="15" s="2" customFormat="1" ht="17.6" spans="1:44">
      <c r="A15" s="12" t="s">
        <v>155</v>
      </c>
      <c r="B15" s="20" t="s">
        <v>172</v>
      </c>
      <c r="C15" s="14">
        <v>8815</v>
      </c>
      <c r="D15" s="14">
        <v>442.34</v>
      </c>
      <c r="E15" s="14">
        <v>452.6</v>
      </c>
      <c r="F15" s="14">
        <v>8973</v>
      </c>
      <c r="G15" s="14">
        <v>16720</v>
      </c>
      <c r="H15" s="14">
        <v>242.5747</v>
      </c>
      <c r="I15" s="14">
        <v>20.8599</v>
      </c>
      <c r="J15" s="14">
        <v>36.6318</v>
      </c>
      <c r="K15" s="14">
        <v>24.0372</v>
      </c>
      <c r="L15" s="14">
        <v>79.5486</v>
      </c>
      <c r="M15" s="15" t="s">
        <v>0</v>
      </c>
      <c r="N15" s="15" t="s">
        <v>0</v>
      </c>
      <c r="O15" s="15" t="s">
        <v>0</v>
      </c>
      <c r="P15" s="15" t="s">
        <v>0</v>
      </c>
      <c r="Q15" s="14">
        <v>19614</v>
      </c>
      <c r="R15" s="14">
        <v>8104</v>
      </c>
      <c r="S15" s="16" t="s">
        <v>0</v>
      </c>
      <c r="T15" s="16" t="s">
        <v>0</v>
      </c>
      <c r="U15" s="15" t="s">
        <v>0</v>
      </c>
      <c r="V15" s="14">
        <v>64</v>
      </c>
      <c r="W15" s="14">
        <v>18884</v>
      </c>
      <c r="X15" s="14">
        <v>18889</v>
      </c>
      <c r="Y15" s="14">
        <v>32.64</v>
      </c>
      <c r="Z15" s="14">
        <v>23.73</v>
      </c>
      <c r="AA15" s="14">
        <v>12</v>
      </c>
      <c r="AB15" s="14">
        <v>1149.1345</v>
      </c>
      <c r="AC15" s="14">
        <v>26022</v>
      </c>
      <c r="AD15" s="14">
        <v>8.2</v>
      </c>
      <c r="AE15" s="14">
        <v>945.1687</v>
      </c>
      <c r="AF15" s="14">
        <v>552.9935</v>
      </c>
      <c r="AG15" s="14">
        <v>367000</v>
      </c>
      <c r="AH15" s="14">
        <v>21628</v>
      </c>
      <c r="AI15" s="14">
        <v>47.86</v>
      </c>
      <c r="AJ15" s="14">
        <v>37.65</v>
      </c>
      <c r="AK15" s="14">
        <v>24654</v>
      </c>
      <c r="AL15" s="14">
        <v>13.65</v>
      </c>
      <c r="AM15" s="14">
        <v>8.21</v>
      </c>
      <c r="AN15" s="14">
        <v>99</v>
      </c>
      <c r="AO15" s="14">
        <v>100</v>
      </c>
      <c r="AP15" s="14">
        <v>81.2</v>
      </c>
      <c r="AQ15" s="15" t="s">
        <v>0</v>
      </c>
      <c r="AR15" s="17">
        <f t="shared" si="2"/>
        <v>3.0060721340259</v>
      </c>
    </row>
    <row r="16" s="2" customFormat="1" ht="17.6" spans="1:44">
      <c r="A16" s="12" t="s">
        <v>173</v>
      </c>
      <c r="B16" s="18" t="s">
        <v>174</v>
      </c>
      <c r="C16" s="14">
        <v>6988</v>
      </c>
      <c r="D16" s="15">
        <v>429.89</v>
      </c>
      <c r="E16" s="14">
        <v>369.7</v>
      </c>
      <c r="F16" s="14">
        <v>19306</v>
      </c>
      <c r="G16" s="14">
        <v>34650</v>
      </c>
      <c r="H16" s="14">
        <v>322.6934</v>
      </c>
      <c r="I16" s="15">
        <v>41.0154</v>
      </c>
      <c r="J16" s="15">
        <v>52.7157</v>
      </c>
      <c r="K16" s="15">
        <v>22.48</v>
      </c>
      <c r="L16" s="14">
        <v>172.469</v>
      </c>
      <c r="M16" s="15">
        <v>14430</v>
      </c>
      <c r="N16" s="15">
        <v>3558</v>
      </c>
      <c r="O16" s="15">
        <v>9444</v>
      </c>
      <c r="P16" s="15">
        <v>2450</v>
      </c>
      <c r="Q16" s="15">
        <v>25768</v>
      </c>
      <c r="R16" s="15">
        <v>14192</v>
      </c>
      <c r="S16" s="16">
        <f t="shared" ref="S16:S21" si="5">N16/M16*100</f>
        <v>24.6569646569647</v>
      </c>
      <c r="T16" s="16">
        <f t="shared" ref="T16:T21" si="6">P16/O16*100</f>
        <v>25.9423972892842</v>
      </c>
      <c r="U16" s="15">
        <v>113.8957</v>
      </c>
      <c r="V16" s="14">
        <v>151</v>
      </c>
      <c r="W16" s="14">
        <v>16691</v>
      </c>
      <c r="X16" s="14">
        <v>18477</v>
      </c>
      <c r="Y16" s="14">
        <v>26.13</v>
      </c>
      <c r="Z16" s="14">
        <v>21.79</v>
      </c>
      <c r="AA16" s="15">
        <v>12</v>
      </c>
      <c r="AB16" s="14">
        <v>2531.0917</v>
      </c>
      <c r="AC16" s="14">
        <v>59023</v>
      </c>
      <c r="AD16" s="14">
        <v>3.3</v>
      </c>
      <c r="AE16" s="14">
        <v>1746.0868</v>
      </c>
      <c r="AF16" s="14">
        <v>1450.1658</v>
      </c>
      <c r="AG16" s="15">
        <v>1067105</v>
      </c>
      <c r="AH16" s="14">
        <v>107673</v>
      </c>
      <c r="AI16" s="14">
        <v>40</v>
      </c>
      <c r="AJ16" s="14">
        <v>58.47</v>
      </c>
      <c r="AK16" s="14">
        <v>48116</v>
      </c>
      <c r="AL16" s="14">
        <v>13.7</v>
      </c>
      <c r="AM16" s="14">
        <v>10.68</v>
      </c>
      <c r="AN16" s="14">
        <v>55.25</v>
      </c>
      <c r="AO16" s="14">
        <v>100</v>
      </c>
      <c r="AP16" s="14">
        <v>85.85</v>
      </c>
      <c r="AQ16" s="15">
        <v>217.47</v>
      </c>
      <c r="AR16" s="17">
        <f t="shared" si="2"/>
        <v>2.71411536287671</v>
      </c>
    </row>
    <row r="17" s="2" customFormat="1" ht="17.6" spans="1:44">
      <c r="A17" s="12" t="s">
        <v>173</v>
      </c>
      <c r="B17" s="18" t="s">
        <v>176</v>
      </c>
      <c r="C17" s="14">
        <v>14176</v>
      </c>
      <c r="D17" s="15">
        <v>339.2</v>
      </c>
      <c r="E17" s="14" t="s">
        <v>0</v>
      </c>
      <c r="F17" s="14">
        <v>8992</v>
      </c>
      <c r="G17" s="14">
        <v>16086</v>
      </c>
      <c r="H17" s="14">
        <v>221.788</v>
      </c>
      <c r="I17" s="15">
        <v>29.8892</v>
      </c>
      <c r="J17" s="15">
        <v>38.6969</v>
      </c>
      <c r="K17" s="15">
        <v>18.824</v>
      </c>
      <c r="L17" s="14">
        <v>72.1743</v>
      </c>
      <c r="M17" s="15">
        <v>10494</v>
      </c>
      <c r="N17" s="15">
        <v>3321</v>
      </c>
      <c r="O17" s="21">
        <v>9444</v>
      </c>
      <c r="P17" s="15" t="s">
        <v>0</v>
      </c>
      <c r="Q17" s="15">
        <v>23043</v>
      </c>
      <c r="R17" s="15">
        <v>7137</v>
      </c>
      <c r="S17" s="16">
        <f t="shared" si="5"/>
        <v>31.6466552315609</v>
      </c>
      <c r="T17" s="16" t="s">
        <v>0</v>
      </c>
      <c r="U17" s="15">
        <v>128.13</v>
      </c>
      <c r="V17" s="14">
        <v>50</v>
      </c>
      <c r="W17" s="14">
        <v>18189</v>
      </c>
      <c r="X17" s="14">
        <v>16221</v>
      </c>
      <c r="Y17" s="14">
        <v>19.68</v>
      </c>
      <c r="Z17" s="14">
        <v>17.5</v>
      </c>
      <c r="AA17" s="22">
        <v>12</v>
      </c>
      <c r="AB17" s="14">
        <v>1001.7256</v>
      </c>
      <c r="AC17" s="14">
        <v>29607</v>
      </c>
      <c r="AD17" s="14">
        <v>7.4</v>
      </c>
      <c r="AE17" s="14">
        <v>1072.408</v>
      </c>
      <c r="AF17" s="14">
        <v>541.4288</v>
      </c>
      <c r="AG17" s="15">
        <v>48172</v>
      </c>
      <c r="AH17" s="14">
        <v>18159</v>
      </c>
      <c r="AI17" s="14">
        <v>44.47</v>
      </c>
      <c r="AJ17" s="14">
        <v>49.83</v>
      </c>
      <c r="AK17" s="14">
        <v>58449</v>
      </c>
      <c r="AL17" s="14">
        <v>11.43</v>
      </c>
      <c r="AM17" s="14">
        <v>4.72</v>
      </c>
      <c r="AN17" s="14">
        <v>91.34</v>
      </c>
      <c r="AO17" s="14">
        <v>92</v>
      </c>
      <c r="AP17" s="14">
        <v>85</v>
      </c>
      <c r="AQ17" s="15">
        <v>146</v>
      </c>
      <c r="AR17" s="17">
        <f t="shared" si="2"/>
        <v>7.4916174480128</v>
      </c>
    </row>
    <row r="18" s="2" customFormat="1" ht="17.6" spans="1:44">
      <c r="A18" s="12" t="s">
        <v>173</v>
      </c>
      <c r="B18" s="18" t="s">
        <v>178</v>
      </c>
      <c r="C18" s="14">
        <v>4570</v>
      </c>
      <c r="D18" s="21">
        <v>139.2674</v>
      </c>
      <c r="E18" s="14">
        <v>133.2</v>
      </c>
      <c r="F18" s="14">
        <v>3946</v>
      </c>
      <c r="G18" s="14">
        <v>6984</v>
      </c>
      <c r="H18" s="14">
        <v>86.9075</v>
      </c>
      <c r="I18" s="21">
        <v>9.581</v>
      </c>
      <c r="J18" s="21">
        <v>19.2937</v>
      </c>
      <c r="K18" s="15" t="s">
        <v>0</v>
      </c>
      <c r="L18" s="14">
        <v>42.942</v>
      </c>
      <c r="M18" s="15">
        <v>12940.6</v>
      </c>
      <c r="N18" s="15">
        <v>3479.9</v>
      </c>
      <c r="O18" s="15">
        <v>7468</v>
      </c>
      <c r="P18" s="15">
        <v>2137</v>
      </c>
      <c r="Q18" s="15">
        <v>24825</v>
      </c>
      <c r="R18" s="15">
        <v>10742</v>
      </c>
      <c r="S18" s="16">
        <f t="shared" si="5"/>
        <v>26.8913342503439</v>
      </c>
      <c r="T18" s="16">
        <f t="shared" si="6"/>
        <v>28.6154258168184</v>
      </c>
      <c r="U18" s="15">
        <v>52.7906</v>
      </c>
      <c r="V18" s="14">
        <v>31</v>
      </c>
      <c r="W18" s="14">
        <v>5732</v>
      </c>
      <c r="X18" s="14">
        <v>5864</v>
      </c>
      <c r="Y18" s="14">
        <v>8.37</v>
      </c>
      <c r="Z18" s="14">
        <v>7.26</v>
      </c>
      <c r="AA18" s="15">
        <v>6</v>
      </c>
      <c r="AB18" s="14">
        <v>616.6154</v>
      </c>
      <c r="AC18" s="14">
        <v>44382</v>
      </c>
      <c r="AD18" s="14">
        <v>3.21</v>
      </c>
      <c r="AE18" s="14">
        <v>517.3685</v>
      </c>
      <c r="AF18" s="14">
        <v>276.2979</v>
      </c>
      <c r="AG18" s="15">
        <v>19567</v>
      </c>
      <c r="AH18" s="14">
        <v>27600</v>
      </c>
      <c r="AI18" s="14">
        <v>54.63</v>
      </c>
      <c r="AJ18" s="14">
        <v>43.58</v>
      </c>
      <c r="AK18" s="14">
        <v>9250</v>
      </c>
      <c r="AL18" s="14">
        <v>8.75</v>
      </c>
      <c r="AM18" s="14">
        <v>10.85</v>
      </c>
      <c r="AN18" s="14">
        <v>21.05</v>
      </c>
      <c r="AO18" s="14">
        <v>72</v>
      </c>
      <c r="AP18" s="14">
        <v>87</v>
      </c>
      <c r="AQ18" s="15">
        <v>73.1</v>
      </c>
      <c r="AR18" s="17">
        <f t="shared" si="2"/>
        <v>2.10864659083138</v>
      </c>
    </row>
    <row r="19" s="2" customFormat="1" ht="17.6" spans="1:44">
      <c r="A19" s="12" t="s">
        <v>173</v>
      </c>
      <c r="B19" s="18" t="s">
        <v>180</v>
      </c>
      <c r="C19" s="14">
        <v>13896</v>
      </c>
      <c r="D19" s="15">
        <v>339.1775</v>
      </c>
      <c r="E19" s="14">
        <v>339.2</v>
      </c>
      <c r="F19" s="14">
        <v>7853</v>
      </c>
      <c r="G19" s="14">
        <v>15474</v>
      </c>
      <c r="H19" s="14">
        <v>244.0202</v>
      </c>
      <c r="I19" s="15">
        <v>39.3759</v>
      </c>
      <c r="J19" s="15">
        <v>39.2001</v>
      </c>
      <c r="K19" s="15">
        <v>22.8751</v>
      </c>
      <c r="L19" s="14">
        <v>71.5437</v>
      </c>
      <c r="M19" s="15">
        <v>13319</v>
      </c>
      <c r="N19" s="15">
        <v>3729</v>
      </c>
      <c r="O19" s="15">
        <v>7996</v>
      </c>
      <c r="P19" s="15">
        <v>3040</v>
      </c>
      <c r="Q19" s="15">
        <v>24565</v>
      </c>
      <c r="R19" s="15">
        <v>10311</v>
      </c>
      <c r="S19" s="16">
        <f t="shared" si="5"/>
        <v>27.9975974172235</v>
      </c>
      <c r="T19" s="16">
        <f t="shared" si="6"/>
        <v>38.0190095047524</v>
      </c>
      <c r="U19" s="15">
        <v>119.4914</v>
      </c>
      <c r="V19" s="14">
        <v>55</v>
      </c>
      <c r="W19" s="14">
        <v>15928</v>
      </c>
      <c r="X19" s="14">
        <v>15503</v>
      </c>
      <c r="Y19" s="14">
        <v>20.49</v>
      </c>
      <c r="Z19" s="14">
        <v>19.64</v>
      </c>
      <c r="AA19" s="15">
        <v>14</v>
      </c>
      <c r="AB19" s="14">
        <v>1331.1415</v>
      </c>
      <c r="AC19" s="14">
        <v>39196</v>
      </c>
      <c r="AD19" s="14">
        <v>5.1</v>
      </c>
      <c r="AE19" s="14">
        <v>1245.6466</v>
      </c>
      <c r="AF19" s="14">
        <v>476.8848</v>
      </c>
      <c r="AG19" s="15">
        <v>68296.71</v>
      </c>
      <c r="AH19" s="14">
        <v>34402</v>
      </c>
      <c r="AI19" s="14">
        <v>58.33</v>
      </c>
      <c r="AJ19" s="14">
        <v>37.29</v>
      </c>
      <c r="AK19" s="14">
        <v>13138</v>
      </c>
      <c r="AL19" s="14">
        <v>8.9</v>
      </c>
      <c r="AM19" s="14">
        <v>6.15</v>
      </c>
      <c r="AN19" s="14">
        <v>66.41</v>
      </c>
      <c r="AO19" s="14">
        <v>80.05</v>
      </c>
      <c r="AP19" s="14">
        <v>92.73</v>
      </c>
      <c r="AQ19" s="15" t="s">
        <v>0</v>
      </c>
      <c r="AR19" s="17">
        <f t="shared" si="2"/>
        <v>1.8032460625193</v>
      </c>
    </row>
    <row r="20" s="2" customFormat="1" ht="17.6" spans="1:44">
      <c r="A20" s="12" t="s">
        <v>173</v>
      </c>
      <c r="B20" s="18" t="s">
        <v>182</v>
      </c>
      <c r="C20" s="14">
        <v>9425</v>
      </c>
      <c r="D20" s="21">
        <v>230.8946</v>
      </c>
      <c r="E20" s="14">
        <v>218.9</v>
      </c>
      <c r="F20" s="14">
        <v>7682</v>
      </c>
      <c r="G20" s="14">
        <v>9509</v>
      </c>
      <c r="H20" s="14">
        <v>161.7219</v>
      </c>
      <c r="I20" s="15">
        <v>20.3802</v>
      </c>
      <c r="J20" s="15">
        <v>32.2069</v>
      </c>
      <c r="K20" s="15">
        <v>15.2446</v>
      </c>
      <c r="L20" s="14">
        <v>53.8003</v>
      </c>
      <c r="M20" s="15">
        <v>14315</v>
      </c>
      <c r="N20" s="15">
        <v>3251</v>
      </c>
      <c r="O20" s="15">
        <v>7973</v>
      </c>
      <c r="P20" s="15">
        <v>2067</v>
      </c>
      <c r="Q20" s="15">
        <v>24907</v>
      </c>
      <c r="R20" s="15">
        <v>10087</v>
      </c>
      <c r="S20" s="16">
        <f t="shared" si="5"/>
        <v>22.7104435906392</v>
      </c>
      <c r="T20" s="16">
        <f t="shared" si="6"/>
        <v>25.9249968644174</v>
      </c>
      <c r="U20" s="15">
        <v>83.5548</v>
      </c>
      <c r="V20" s="14">
        <v>39</v>
      </c>
      <c r="W20" s="14">
        <v>10313</v>
      </c>
      <c r="X20" s="14">
        <v>11439</v>
      </c>
      <c r="Y20" s="14">
        <v>12.81</v>
      </c>
      <c r="Z20" s="14">
        <v>14.77</v>
      </c>
      <c r="AA20" s="15">
        <v>6</v>
      </c>
      <c r="AB20" s="14">
        <v>1035.8203</v>
      </c>
      <c r="AC20" s="14">
        <v>44943</v>
      </c>
      <c r="AD20" s="14">
        <v>4.7</v>
      </c>
      <c r="AE20" s="14">
        <v>974.7818</v>
      </c>
      <c r="AF20" s="14">
        <v>341.2124</v>
      </c>
      <c r="AG20" s="15">
        <v>109785</v>
      </c>
      <c r="AH20" s="14">
        <v>28429</v>
      </c>
      <c r="AI20" s="14">
        <v>58.76</v>
      </c>
      <c r="AJ20" s="14">
        <v>37.02</v>
      </c>
      <c r="AK20" s="14">
        <v>4885</v>
      </c>
      <c r="AL20" s="14">
        <v>15.36</v>
      </c>
      <c r="AM20" s="14">
        <v>12.33</v>
      </c>
      <c r="AN20" s="14">
        <v>78</v>
      </c>
      <c r="AO20" s="14">
        <v>100</v>
      </c>
      <c r="AP20" s="14">
        <v>94.7</v>
      </c>
      <c r="AQ20" s="15">
        <v>151.33</v>
      </c>
      <c r="AR20" s="17">
        <f t="shared" si="2"/>
        <v>0.899817273544451</v>
      </c>
    </row>
    <row r="21" s="2" customFormat="1" ht="17.6" spans="1:44">
      <c r="A21" s="12" t="s">
        <v>173</v>
      </c>
      <c r="B21" s="18" t="s">
        <v>184</v>
      </c>
      <c r="C21" s="14">
        <v>10674</v>
      </c>
      <c r="D21" s="21">
        <v>175.3943</v>
      </c>
      <c r="E21" s="14">
        <v>175.4</v>
      </c>
      <c r="F21" s="14">
        <v>3343</v>
      </c>
      <c r="G21" s="14">
        <v>6665</v>
      </c>
      <c r="H21" s="14">
        <v>143.0634</v>
      </c>
      <c r="I21" s="21">
        <v>12.2788</v>
      </c>
      <c r="J21" s="21">
        <v>23.2389</v>
      </c>
      <c r="K21" s="15">
        <v>10.503</v>
      </c>
      <c r="L21" s="14">
        <v>57.8284</v>
      </c>
      <c r="M21" s="21">
        <v>13633</v>
      </c>
      <c r="N21" s="15">
        <v>3313.93</v>
      </c>
      <c r="O21" s="21">
        <v>6431</v>
      </c>
      <c r="P21" s="15">
        <v>2290.48</v>
      </c>
      <c r="Q21" s="21">
        <v>25725</v>
      </c>
      <c r="R21" s="21">
        <v>10137</v>
      </c>
      <c r="S21" s="16">
        <f t="shared" si="5"/>
        <v>24.3081493435047</v>
      </c>
      <c r="T21" s="16">
        <f t="shared" si="6"/>
        <v>35.6162338672057</v>
      </c>
      <c r="U21" s="21">
        <v>68.7796</v>
      </c>
      <c r="V21" s="14">
        <v>21</v>
      </c>
      <c r="W21" s="14">
        <v>9711</v>
      </c>
      <c r="X21" s="14">
        <v>10819</v>
      </c>
      <c r="Y21" s="14">
        <v>13.81</v>
      </c>
      <c r="Z21" s="14">
        <v>14.09</v>
      </c>
      <c r="AA21" s="15">
        <v>7</v>
      </c>
      <c r="AB21" s="14">
        <v>1003.41</v>
      </c>
      <c r="AC21" s="14">
        <v>57368</v>
      </c>
      <c r="AD21" s="14">
        <v>4.5</v>
      </c>
      <c r="AE21" s="14">
        <v>815.2983</v>
      </c>
      <c r="AF21" s="14">
        <v>218.7619</v>
      </c>
      <c r="AG21" s="21">
        <v>11698</v>
      </c>
      <c r="AH21" s="14">
        <v>15420</v>
      </c>
      <c r="AI21" s="14">
        <v>54.09</v>
      </c>
      <c r="AJ21" s="14">
        <v>39.79</v>
      </c>
      <c r="AK21" s="14">
        <v>6160</v>
      </c>
      <c r="AL21" s="14">
        <v>7.31</v>
      </c>
      <c r="AM21" s="14">
        <v>3.35</v>
      </c>
      <c r="AN21" s="14">
        <v>86.86</v>
      </c>
      <c r="AO21" s="14">
        <v>91.22</v>
      </c>
      <c r="AP21" s="14">
        <v>97.3</v>
      </c>
      <c r="AQ21" s="15" t="s">
        <v>0</v>
      </c>
      <c r="AR21" s="17">
        <f t="shared" si="2"/>
        <v>1.053993196953</v>
      </c>
    </row>
    <row r="22" s="2" customFormat="1" ht="17.6" spans="1:44">
      <c r="A22" s="12" t="s">
        <v>173</v>
      </c>
      <c r="B22" s="18" t="s">
        <v>186</v>
      </c>
      <c r="C22" s="14">
        <v>16392</v>
      </c>
      <c r="D22" s="21">
        <v>332.0308</v>
      </c>
      <c r="E22" s="14">
        <v>330.5</v>
      </c>
      <c r="F22" s="14">
        <v>6514</v>
      </c>
      <c r="G22" s="14">
        <v>13657</v>
      </c>
      <c r="H22" s="14">
        <v>216.8543</v>
      </c>
      <c r="I22" s="21">
        <v>27.4343</v>
      </c>
      <c r="J22" s="21">
        <v>40.7156</v>
      </c>
      <c r="K22" s="15" t="s">
        <v>0</v>
      </c>
      <c r="L22" s="14">
        <v>54.221</v>
      </c>
      <c r="M22" s="21">
        <v>12689</v>
      </c>
      <c r="N22" s="15" t="s">
        <v>0</v>
      </c>
      <c r="O22" s="21">
        <v>6851</v>
      </c>
      <c r="P22" s="15" t="s">
        <v>0</v>
      </c>
      <c r="Q22" s="21">
        <v>25652</v>
      </c>
      <c r="R22" s="21">
        <v>10100</v>
      </c>
      <c r="S22" s="23">
        <v>29.4</v>
      </c>
      <c r="T22" s="23">
        <v>29.4</v>
      </c>
      <c r="U22" s="21">
        <v>131.7043</v>
      </c>
      <c r="V22" s="14">
        <v>51</v>
      </c>
      <c r="W22" s="14">
        <v>14950</v>
      </c>
      <c r="X22" s="14">
        <v>15075</v>
      </c>
      <c r="Y22" s="14">
        <v>22.73</v>
      </c>
      <c r="Z22" s="14">
        <v>16.16</v>
      </c>
      <c r="AA22" s="22">
        <v>11</v>
      </c>
      <c r="AB22" s="14">
        <v>1041.3</v>
      </c>
      <c r="AC22" s="14">
        <v>31434</v>
      </c>
      <c r="AD22" s="14">
        <v>6.8</v>
      </c>
      <c r="AE22" s="14">
        <v>1106.0072</v>
      </c>
      <c r="AF22" s="14">
        <v>484.2576</v>
      </c>
      <c r="AG22" s="21">
        <v>44405</v>
      </c>
      <c r="AH22" s="14">
        <v>35303</v>
      </c>
      <c r="AI22" s="14">
        <v>47.45</v>
      </c>
      <c r="AJ22" s="14">
        <v>42.63</v>
      </c>
      <c r="AK22" s="14">
        <v>9613</v>
      </c>
      <c r="AL22" s="14">
        <v>13.88</v>
      </c>
      <c r="AM22" s="14">
        <v>21.72</v>
      </c>
      <c r="AN22" s="14">
        <v>79.45</v>
      </c>
      <c r="AO22" s="14">
        <v>96.6</v>
      </c>
      <c r="AP22" s="14">
        <v>96.6</v>
      </c>
      <c r="AQ22" s="15" t="s">
        <v>0</v>
      </c>
      <c r="AR22" s="17">
        <f t="shared" si="2"/>
        <v>1.74204409747328</v>
      </c>
    </row>
    <row r="23" s="2" customFormat="1" ht="17.6" spans="1:44">
      <c r="A23" s="12" t="s">
        <v>173</v>
      </c>
      <c r="B23" s="18" t="s">
        <v>188</v>
      </c>
      <c r="C23" s="14">
        <v>14181</v>
      </c>
      <c r="D23" s="15">
        <v>525.23</v>
      </c>
      <c r="E23" s="14">
        <v>525.2</v>
      </c>
      <c r="F23" s="14">
        <v>20595</v>
      </c>
      <c r="G23" s="14">
        <v>26734</v>
      </c>
      <c r="H23" s="14">
        <v>238.7663</v>
      </c>
      <c r="I23" s="15">
        <v>34.44</v>
      </c>
      <c r="J23" s="15">
        <v>51.7383</v>
      </c>
      <c r="K23" s="15">
        <v>30.73</v>
      </c>
      <c r="L23" s="14">
        <v>41.0799</v>
      </c>
      <c r="M23" s="15">
        <v>13274</v>
      </c>
      <c r="N23" s="15">
        <v>4020</v>
      </c>
      <c r="O23" s="15">
        <v>6216</v>
      </c>
      <c r="P23" s="15">
        <v>1980</v>
      </c>
      <c r="Q23" s="15">
        <v>22226</v>
      </c>
      <c r="R23" s="15">
        <v>8125</v>
      </c>
      <c r="S23" s="16">
        <f t="shared" ref="S23:S38" si="7">N23/M23*100</f>
        <v>30.2847672141028</v>
      </c>
      <c r="T23" s="16">
        <f t="shared" ref="T23:T38" si="8">P23/O23*100</f>
        <v>31.8532818532818</v>
      </c>
      <c r="U23" s="15">
        <v>172.4203</v>
      </c>
      <c r="V23" s="14">
        <v>72</v>
      </c>
      <c r="W23" s="14">
        <v>24140</v>
      </c>
      <c r="X23" s="14">
        <v>29775</v>
      </c>
      <c r="Y23" s="14">
        <v>28.75</v>
      </c>
      <c r="Z23" s="14">
        <v>29.99</v>
      </c>
      <c r="AA23" s="15">
        <v>13</v>
      </c>
      <c r="AB23" s="14">
        <v>1201.7177</v>
      </c>
      <c r="AC23" s="14">
        <v>22940</v>
      </c>
      <c r="AD23" s="14">
        <v>5</v>
      </c>
      <c r="AE23" s="14">
        <v>1202.7349</v>
      </c>
      <c r="AF23" s="14">
        <v>626.2424</v>
      </c>
      <c r="AG23" s="15">
        <v>149813</v>
      </c>
      <c r="AH23" s="14">
        <v>1658</v>
      </c>
      <c r="AI23" s="14">
        <v>41.34</v>
      </c>
      <c r="AJ23" s="14">
        <v>42.25</v>
      </c>
      <c r="AK23" s="14">
        <v>14579</v>
      </c>
      <c r="AL23" s="14">
        <v>10.31</v>
      </c>
      <c r="AM23" s="14">
        <v>13.09</v>
      </c>
      <c r="AN23" s="14">
        <v>44.6</v>
      </c>
      <c r="AO23" s="14">
        <v>96</v>
      </c>
      <c r="AP23" s="14">
        <v>98.8</v>
      </c>
      <c r="AQ23" s="15">
        <v>262.5793</v>
      </c>
      <c r="AR23" s="17">
        <f t="shared" si="2"/>
        <v>3.42730465609411</v>
      </c>
    </row>
    <row r="24" s="2" customFormat="1" ht="17.6" spans="1:44">
      <c r="A24" s="12" t="s">
        <v>173</v>
      </c>
      <c r="B24" s="18" t="s">
        <v>190</v>
      </c>
      <c r="C24" s="14">
        <v>25152</v>
      </c>
      <c r="D24" s="21">
        <v>312.846</v>
      </c>
      <c r="E24" s="14">
        <v>312.5</v>
      </c>
      <c r="F24" s="14">
        <v>13447</v>
      </c>
      <c r="G24" s="14">
        <v>12187</v>
      </c>
      <c r="H24" s="14">
        <v>213.9521</v>
      </c>
      <c r="I24" s="21">
        <v>30.5759</v>
      </c>
      <c r="J24" s="21">
        <v>36.9184</v>
      </c>
      <c r="K24" s="15" t="s">
        <v>0</v>
      </c>
      <c r="L24" s="14">
        <v>34.7469</v>
      </c>
      <c r="M24" s="21">
        <v>10317</v>
      </c>
      <c r="N24" s="15" t="s">
        <v>0</v>
      </c>
      <c r="O24" s="21">
        <v>6412</v>
      </c>
      <c r="P24" s="15" t="s">
        <v>0</v>
      </c>
      <c r="Q24" s="21">
        <v>21735</v>
      </c>
      <c r="R24" s="21">
        <v>6104</v>
      </c>
      <c r="S24" s="23">
        <v>30.6</v>
      </c>
      <c r="T24" s="23">
        <v>35.8</v>
      </c>
      <c r="U24" s="21">
        <v>134.2692</v>
      </c>
      <c r="V24" s="14">
        <v>37</v>
      </c>
      <c r="W24" s="14">
        <v>16568</v>
      </c>
      <c r="X24" s="14">
        <v>14845</v>
      </c>
      <c r="Y24" s="14">
        <v>18.94</v>
      </c>
      <c r="Z24" s="14">
        <v>17</v>
      </c>
      <c r="AA24" s="22">
        <v>14</v>
      </c>
      <c r="AB24" s="14">
        <v>680.3394</v>
      </c>
      <c r="AC24" s="14">
        <v>21796</v>
      </c>
      <c r="AD24" s="14">
        <v>5.4</v>
      </c>
      <c r="AE24" s="14">
        <v>965.4225</v>
      </c>
      <c r="AF24" s="14">
        <v>257.1712</v>
      </c>
      <c r="AG24" s="21">
        <v>19751</v>
      </c>
      <c r="AH24" s="14">
        <v>4320</v>
      </c>
      <c r="AI24" s="14">
        <v>47.54</v>
      </c>
      <c r="AJ24" s="14">
        <v>42.91</v>
      </c>
      <c r="AK24" s="14">
        <v>7280</v>
      </c>
      <c r="AL24" s="14">
        <v>9.91</v>
      </c>
      <c r="AM24" s="14">
        <v>2.01</v>
      </c>
      <c r="AN24" s="14">
        <v>70.92</v>
      </c>
      <c r="AO24" s="14">
        <v>46.11</v>
      </c>
      <c r="AP24" s="14">
        <v>95.01</v>
      </c>
      <c r="AQ24" s="15" t="s">
        <v>0</v>
      </c>
      <c r="AR24" s="17">
        <f t="shared" si="2"/>
        <v>2.05215518577924</v>
      </c>
    </row>
    <row r="25" s="2" customFormat="1" ht="17.6" spans="1:44">
      <c r="A25" s="12" t="s">
        <v>173</v>
      </c>
      <c r="B25" s="18" t="s">
        <v>191</v>
      </c>
      <c r="C25" s="14">
        <v>20275</v>
      </c>
      <c r="D25" s="15">
        <v>441.5</v>
      </c>
      <c r="E25" s="14">
        <v>429</v>
      </c>
      <c r="F25" s="14">
        <v>9831</v>
      </c>
      <c r="G25" s="14">
        <v>17485</v>
      </c>
      <c r="H25" s="14">
        <v>283.0807</v>
      </c>
      <c r="I25" s="15">
        <v>40.2035</v>
      </c>
      <c r="J25" s="15">
        <v>41.6684</v>
      </c>
      <c r="K25" s="15">
        <v>29.4823</v>
      </c>
      <c r="L25" s="14">
        <v>63.2181</v>
      </c>
      <c r="M25" s="15">
        <v>10523</v>
      </c>
      <c r="N25" s="15" t="s">
        <v>0</v>
      </c>
      <c r="O25" s="15">
        <v>6009</v>
      </c>
      <c r="P25" s="15" t="s">
        <v>0</v>
      </c>
      <c r="Q25" s="15">
        <v>23610</v>
      </c>
      <c r="R25" s="15">
        <v>8755</v>
      </c>
      <c r="S25" s="16" t="s">
        <v>0</v>
      </c>
      <c r="T25" s="16" t="s">
        <v>0</v>
      </c>
      <c r="U25" s="15">
        <v>117.7225</v>
      </c>
      <c r="V25" s="14">
        <v>64</v>
      </c>
      <c r="W25" s="14">
        <v>21426</v>
      </c>
      <c r="X25" s="14">
        <v>21480</v>
      </c>
      <c r="Y25" s="14">
        <v>27.42</v>
      </c>
      <c r="Z25" s="14">
        <v>24.28</v>
      </c>
      <c r="AA25" s="15">
        <v>17</v>
      </c>
      <c r="AB25" s="14">
        <v>1213.2401</v>
      </c>
      <c r="AC25" s="14">
        <v>27557</v>
      </c>
      <c r="AD25" s="14">
        <v>4.6</v>
      </c>
      <c r="AE25" s="14">
        <v>1229.4284</v>
      </c>
      <c r="AF25" s="14">
        <v>545.0084</v>
      </c>
      <c r="AG25" s="15">
        <v>39949</v>
      </c>
      <c r="AH25" s="14">
        <v>14913</v>
      </c>
      <c r="AI25" s="14">
        <v>54.33</v>
      </c>
      <c r="AJ25" s="14">
        <v>37.84</v>
      </c>
      <c r="AK25" s="14">
        <v>17337</v>
      </c>
      <c r="AL25" s="14">
        <v>7.89</v>
      </c>
      <c r="AM25" s="14">
        <v>3.56</v>
      </c>
      <c r="AN25" s="14">
        <v>71.68</v>
      </c>
      <c r="AO25" s="14">
        <v>76.14</v>
      </c>
      <c r="AP25" s="14">
        <v>82.65</v>
      </c>
      <c r="AQ25" s="15">
        <v>217.4</v>
      </c>
      <c r="AR25" s="17">
        <f t="shared" si="2"/>
        <v>2.6692100911753</v>
      </c>
    </row>
    <row r="26" s="2" customFormat="1" ht="17.6" spans="1:44">
      <c r="A26" s="12" t="s">
        <v>173</v>
      </c>
      <c r="B26" s="18" t="s">
        <v>193</v>
      </c>
      <c r="C26" s="14">
        <v>21239</v>
      </c>
      <c r="D26" s="21">
        <v>381.3133</v>
      </c>
      <c r="E26" s="14">
        <v>390.7</v>
      </c>
      <c r="F26" s="14">
        <v>6484</v>
      </c>
      <c r="G26" s="14">
        <v>11122</v>
      </c>
      <c r="H26" s="14">
        <v>263.8085</v>
      </c>
      <c r="I26" s="21">
        <v>25.3898</v>
      </c>
      <c r="J26" s="21">
        <v>52.522</v>
      </c>
      <c r="K26" s="15" t="s">
        <v>0</v>
      </c>
      <c r="L26" s="15" t="s">
        <v>0</v>
      </c>
      <c r="M26" s="21">
        <v>12246</v>
      </c>
      <c r="N26" s="15" t="s">
        <v>0</v>
      </c>
      <c r="O26" s="21">
        <v>5403</v>
      </c>
      <c r="P26" s="15" t="s">
        <v>0</v>
      </c>
      <c r="Q26" s="21">
        <v>21485</v>
      </c>
      <c r="R26" s="21">
        <v>6754</v>
      </c>
      <c r="S26" s="23">
        <v>26.8</v>
      </c>
      <c r="T26" s="23">
        <v>27.5</v>
      </c>
      <c r="U26" s="21">
        <v>148.1763</v>
      </c>
      <c r="V26" s="14">
        <v>50</v>
      </c>
      <c r="W26" s="14">
        <v>20809</v>
      </c>
      <c r="X26" s="14">
        <v>19474</v>
      </c>
      <c r="Y26" s="14">
        <v>25.99</v>
      </c>
      <c r="Z26" s="14">
        <v>22.58</v>
      </c>
      <c r="AA26" s="22">
        <v>17</v>
      </c>
      <c r="AB26" s="14">
        <v>1101.3462</v>
      </c>
      <c r="AC26" s="14">
        <v>28960</v>
      </c>
      <c r="AD26" s="14">
        <v>2</v>
      </c>
      <c r="AE26" s="14">
        <v>1016.9695</v>
      </c>
      <c r="AF26" s="14">
        <v>388.6735</v>
      </c>
      <c r="AG26" s="21">
        <v>74846</v>
      </c>
      <c r="AH26" s="14">
        <v>4309</v>
      </c>
      <c r="AI26" s="14">
        <v>62.18</v>
      </c>
      <c r="AJ26" s="14">
        <v>31.59</v>
      </c>
      <c r="AK26" s="24" t="s">
        <v>0</v>
      </c>
      <c r="AL26" s="14">
        <v>10.99</v>
      </c>
      <c r="AM26" s="14">
        <v>4.18</v>
      </c>
      <c r="AN26" s="14">
        <v>81.83</v>
      </c>
      <c r="AO26" s="14">
        <v>78.33</v>
      </c>
      <c r="AP26" s="14">
        <v>82.28</v>
      </c>
      <c r="AQ26" s="15" t="s">
        <v>0</v>
      </c>
      <c r="AR26" s="17" t="s">
        <v>0</v>
      </c>
    </row>
    <row r="27" s="2" customFormat="1" ht="17.6" spans="1:44">
      <c r="A27" s="12" t="s">
        <v>195</v>
      </c>
      <c r="B27" s="25" t="s">
        <v>196</v>
      </c>
      <c r="C27" s="26">
        <v>17186</v>
      </c>
      <c r="D27" s="27">
        <v>303.06</v>
      </c>
      <c r="E27" s="26">
        <v>237.9</v>
      </c>
      <c r="F27" s="27">
        <v>8326</v>
      </c>
      <c r="G27" s="14">
        <v>15974</v>
      </c>
      <c r="H27" s="26">
        <v>310.9</v>
      </c>
      <c r="I27" s="28">
        <v>35.82</v>
      </c>
      <c r="J27" s="28">
        <v>38.556</v>
      </c>
      <c r="K27" s="28">
        <v>17.768</v>
      </c>
      <c r="L27" s="28">
        <v>140.356</v>
      </c>
      <c r="M27" s="28">
        <v>24844</v>
      </c>
      <c r="N27" s="28">
        <v>6487</v>
      </c>
      <c r="O27" s="28">
        <v>12232</v>
      </c>
      <c r="P27" s="28">
        <v>3420</v>
      </c>
      <c r="Q27" s="28">
        <v>34723</v>
      </c>
      <c r="R27" s="28">
        <v>12538</v>
      </c>
      <c r="S27" s="16">
        <f t="shared" si="7"/>
        <v>26.1109322170343</v>
      </c>
      <c r="T27" s="12">
        <f t="shared" si="8"/>
        <v>27.9594506213211</v>
      </c>
      <c r="U27" s="29" t="s">
        <v>0</v>
      </c>
      <c r="V27" s="26">
        <v>45</v>
      </c>
      <c r="W27" s="26">
        <v>8902</v>
      </c>
      <c r="X27" s="26">
        <v>10617</v>
      </c>
      <c r="Y27" s="26">
        <v>16.87</v>
      </c>
      <c r="Z27" s="26">
        <v>15.08</v>
      </c>
      <c r="AA27" s="27">
        <v>9</v>
      </c>
      <c r="AB27" s="26">
        <v>2894.05</v>
      </c>
      <c r="AC27" s="26">
        <v>95961</v>
      </c>
      <c r="AD27" s="26">
        <v>8</v>
      </c>
      <c r="AE27" s="26">
        <v>1736.4</v>
      </c>
      <c r="AF27" s="26">
        <v>1256</v>
      </c>
      <c r="AG27" s="29" t="s">
        <v>0</v>
      </c>
      <c r="AH27" s="26">
        <v>58847</v>
      </c>
      <c r="AI27" s="26">
        <v>45.17</v>
      </c>
      <c r="AJ27" s="26">
        <v>42.87</v>
      </c>
      <c r="AK27" s="26">
        <v>37003</v>
      </c>
      <c r="AL27" s="26">
        <v>17.57</v>
      </c>
      <c r="AM27" s="26">
        <v>20.68</v>
      </c>
      <c r="AN27" s="26">
        <v>39.64</v>
      </c>
      <c r="AO27" s="26">
        <v>98.74</v>
      </c>
      <c r="AP27" s="26">
        <v>81.02</v>
      </c>
      <c r="AQ27" s="27">
        <v>176.9</v>
      </c>
      <c r="AR27" s="17">
        <f t="shared" ref="AR27:AR29" si="9">AK27/(AK27+L27*10000)*100</f>
        <v>2.56864850756267</v>
      </c>
    </row>
    <row r="28" s="2" customFormat="1" ht="17.6" spans="1:44">
      <c r="A28" s="12" t="s">
        <v>195</v>
      </c>
      <c r="B28" s="25" t="s">
        <v>197</v>
      </c>
      <c r="C28" s="26">
        <v>27768</v>
      </c>
      <c r="D28" s="27">
        <v>279.92</v>
      </c>
      <c r="E28" s="26">
        <v>223.7</v>
      </c>
      <c r="F28" s="27">
        <v>7302</v>
      </c>
      <c r="G28" s="14">
        <v>15382</v>
      </c>
      <c r="H28" s="26">
        <v>354.6</v>
      </c>
      <c r="I28" s="28">
        <v>58.398</v>
      </c>
      <c r="J28" s="28">
        <v>42.57</v>
      </c>
      <c r="K28" s="28">
        <v>16.56</v>
      </c>
      <c r="L28" s="28">
        <v>111.6739</v>
      </c>
      <c r="M28" s="28">
        <v>24920</v>
      </c>
      <c r="N28" s="28">
        <v>7019</v>
      </c>
      <c r="O28" s="28">
        <v>9742</v>
      </c>
      <c r="P28" s="28">
        <v>3358</v>
      </c>
      <c r="Q28" s="28">
        <v>35506</v>
      </c>
      <c r="R28" s="28">
        <v>12713</v>
      </c>
      <c r="S28" s="16">
        <f t="shared" si="7"/>
        <v>28.1661316211878</v>
      </c>
      <c r="T28" s="12">
        <f t="shared" si="8"/>
        <v>34.4693081502772</v>
      </c>
      <c r="U28" s="29">
        <v>86.13</v>
      </c>
      <c r="V28" s="26">
        <v>42</v>
      </c>
      <c r="W28" s="26">
        <v>8727</v>
      </c>
      <c r="X28" s="26">
        <v>10339</v>
      </c>
      <c r="Y28" s="26">
        <v>13.17</v>
      </c>
      <c r="Z28" s="26">
        <v>12.54</v>
      </c>
      <c r="AA28" s="27">
        <v>10</v>
      </c>
      <c r="AB28" s="26">
        <v>3636.31</v>
      </c>
      <c r="AC28" s="26">
        <v>130676</v>
      </c>
      <c r="AD28" s="26">
        <v>8.5</v>
      </c>
      <c r="AE28" s="26">
        <v>3440.5</v>
      </c>
      <c r="AF28" s="26">
        <v>1184.6</v>
      </c>
      <c r="AG28" s="29">
        <v>1104480</v>
      </c>
      <c r="AH28" s="26">
        <v>111900</v>
      </c>
      <c r="AI28" s="26">
        <v>59.7</v>
      </c>
      <c r="AJ28" s="26">
        <v>32.79</v>
      </c>
      <c r="AK28" s="26">
        <v>49604</v>
      </c>
      <c r="AL28" s="26">
        <v>18.16</v>
      </c>
      <c r="AM28" s="26">
        <v>8.87</v>
      </c>
      <c r="AN28" s="26">
        <v>66.13</v>
      </c>
      <c r="AO28" s="26">
        <v>95.46</v>
      </c>
      <c r="AP28" s="26">
        <v>85.37</v>
      </c>
      <c r="AQ28" s="27">
        <v>155.78</v>
      </c>
      <c r="AR28" s="17">
        <f t="shared" si="9"/>
        <v>4.25295131878015</v>
      </c>
    </row>
    <row r="29" s="2" customFormat="1" ht="17.6" spans="1:44">
      <c r="A29" s="12" t="s">
        <v>195</v>
      </c>
      <c r="B29" s="25" t="s">
        <v>198</v>
      </c>
      <c r="C29" s="26">
        <v>252777</v>
      </c>
      <c r="D29" s="27">
        <v>252.95</v>
      </c>
      <c r="E29" s="26">
        <v>265.9</v>
      </c>
      <c r="F29" s="27">
        <v>7282</v>
      </c>
      <c r="G29" s="28">
        <v>14346</v>
      </c>
      <c r="H29" s="26">
        <v>348.5</v>
      </c>
      <c r="I29" s="28">
        <v>61.937</v>
      </c>
      <c r="J29" s="28">
        <v>41.9538</v>
      </c>
      <c r="K29" s="28">
        <v>24.849</v>
      </c>
      <c r="L29" s="28">
        <v>68.2295</v>
      </c>
      <c r="M29" s="28">
        <v>18194</v>
      </c>
      <c r="N29" s="28">
        <v>5305</v>
      </c>
      <c r="O29" s="28">
        <v>10745</v>
      </c>
      <c r="P29" s="28">
        <v>2772</v>
      </c>
      <c r="Q29" s="28">
        <v>24787</v>
      </c>
      <c r="R29" s="28">
        <v>10751</v>
      </c>
      <c r="S29" s="16">
        <f t="shared" si="7"/>
        <v>29.1579641640101</v>
      </c>
      <c r="T29" s="12">
        <f t="shared" si="8"/>
        <v>25.7980456026059</v>
      </c>
      <c r="U29" s="29" t="s">
        <v>0</v>
      </c>
      <c r="V29" s="26">
        <v>40</v>
      </c>
      <c r="W29" s="26">
        <v>11847</v>
      </c>
      <c r="X29" s="26">
        <v>11062</v>
      </c>
      <c r="Y29" s="26">
        <v>10.62</v>
      </c>
      <c r="Z29" s="26">
        <v>9.81</v>
      </c>
      <c r="AA29" s="27">
        <v>15</v>
      </c>
      <c r="AB29" s="26">
        <v>1522.2009</v>
      </c>
      <c r="AC29" s="26">
        <v>60152</v>
      </c>
      <c r="AD29" s="26">
        <v>8.4</v>
      </c>
      <c r="AE29" s="26">
        <v>803</v>
      </c>
      <c r="AF29" s="26">
        <v>504</v>
      </c>
      <c r="AG29" s="29" t="s">
        <v>0</v>
      </c>
      <c r="AH29" s="26">
        <v>5981</v>
      </c>
      <c r="AI29" s="29" t="s">
        <v>0</v>
      </c>
      <c r="AJ29" s="29" t="s">
        <v>0</v>
      </c>
      <c r="AK29" s="26">
        <v>30059</v>
      </c>
      <c r="AL29" s="26">
        <v>19.77</v>
      </c>
      <c r="AM29" s="26">
        <v>13.75</v>
      </c>
      <c r="AN29" s="26">
        <v>49</v>
      </c>
      <c r="AO29" s="26">
        <v>93.36</v>
      </c>
      <c r="AP29" s="26">
        <v>90.23</v>
      </c>
      <c r="AQ29" s="27">
        <v>143.8</v>
      </c>
      <c r="AR29" s="17">
        <f t="shared" si="9"/>
        <v>4.21967168009164</v>
      </c>
    </row>
    <row r="30" s="2" customFormat="1" ht="17.6" spans="1:44">
      <c r="A30" s="12" t="s">
        <v>195</v>
      </c>
      <c r="B30" s="25" t="s">
        <v>199</v>
      </c>
      <c r="C30" s="27">
        <v>59800</v>
      </c>
      <c r="D30" s="27">
        <v>160.12</v>
      </c>
      <c r="E30" s="29" t="s">
        <v>0</v>
      </c>
      <c r="F30" s="27">
        <v>3551</v>
      </c>
      <c r="G30" s="28">
        <v>7909</v>
      </c>
      <c r="H30" s="28">
        <v>178.6207</v>
      </c>
      <c r="I30" s="28">
        <v>31.76</v>
      </c>
      <c r="J30" s="28">
        <v>24.03</v>
      </c>
      <c r="K30" s="28">
        <v>12.41</v>
      </c>
      <c r="L30" s="28">
        <v>26.4559</v>
      </c>
      <c r="M30" s="28">
        <v>14255</v>
      </c>
      <c r="N30" s="28">
        <v>3992</v>
      </c>
      <c r="O30" s="28">
        <v>6200</v>
      </c>
      <c r="P30" s="28">
        <v>1885</v>
      </c>
      <c r="Q30" s="28">
        <v>20605</v>
      </c>
      <c r="R30" s="28">
        <v>7275</v>
      </c>
      <c r="S30" s="16">
        <f t="shared" si="7"/>
        <v>28.0042090494563</v>
      </c>
      <c r="T30" s="12">
        <f t="shared" si="8"/>
        <v>30.4032258064516</v>
      </c>
      <c r="U30" s="29" t="s">
        <v>0</v>
      </c>
      <c r="V30" s="29" t="s">
        <v>0</v>
      </c>
      <c r="W30" s="27">
        <v>8843</v>
      </c>
      <c r="X30" s="27">
        <v>6583</v>
      </c>
      <c r="Y30" s="27">
        <v>8.2823</v>
      </c>
      <c r="Z30" s="27">
        <v>6.422</v>
      </c>
      <c r="AA30" s="27">
        <v>7</v>
      </c>
      <c r="AB30" s="27">
        <v>460.51</v>
      </c>
      <c r="AC30" s="27">
        <v>28741</v>
      </c>
      <c r="AD30" s="27">
        <v>8.6</v>
      </c>
      <c r="AE30" s="27">
        <v>360.0432</v>
      </c>
      <c r="AF30" s="27">
        <v>193.3</v>
      </c>
      <c r="AG30" s="29">
        <v>13936</v>
      </c>
      <c r="AH30" s="29">
        <v>796</v>
      </c>
      <c r="AI30" s="29">
        <v>47.4</v>
      </c>
      <c r="AJ30" s="29">
        <v>37.6</v>
      </c>
      <c r="AK30" s="29" t="s">
        <v>0</v>
      </c>
      <c r="AL30" s="29" t="s">
        <v>0</v>
      </c>
      <c r="AM30" s="29" t="s">
        <v>0</v>
      </c>
      <c r="AN30" s="29" t="s">
        <v>0</v>
      </c>
      <c r="AO30" s="29" t="s">
        <v>0</v>
      </c>
      <c r="AP30" s="29" t="s">
        <v>0</v>
      </c>
      <c r="AQ30" s="27">
        <v>85.95</v>
      </c>
      <c r="AR30" s="17" t="s">
        <v>0</v>
      </c>
    </row>
    <row r="31" s="2" customFormat="1" ht="17.6" spans="1:44">
      <c r="A31" s="12" t="s">
        <v>195</v>
      </c>
      <c r="B31" s="25" t="s">
        <v>200</v>
      </c>
      <c r="C31" s="30">
        <v>69625</v>
      </c>
      <c r="D31" s="27">
        <v>312.4</v>
      </c>
      <c r="E31" s="30">
        <v>319.4</v>
      </c>
      <c r="F31" s="27">
        <v>6558</v>
      </c>
      <c r="G31" s="28">
        <v>13288</v>
      </c>
      <c r="H31" s="30">
        <v>318.2044</v>
      </c>
      <c r="I31" s="27">
        <v>51.8601</v>
      </c>
      <c r="J31" s="27">
        <v>43.3885</v>
      </c>
      <c r="K31" s="27">
        <v>20.3696</v>
      </c>
      <c r="L31" s="30">
        <f>29.1821+17.2</f>
        <v>46.3821</v>
      </c>
      <c r="M31" s="27">
        <v>15861</v>
      </c>
      <c r="N31" s="27">
        <v>4002</v>
      </c>
      <c r="O31" s="27">
        <v>8246</v>
      </c>
      <c r="P31" s="27">
        <v>2684</v>
      </c>
      <c r="Q31" s="27">
        <v>23377</v>
      </c>
      <c r="R31" s="27">
        <v>9932</v>
      </c>
      <c r="S31" s="16">
        <f t="shared" si="7"/>
        <v>25.2317003972007</v>
      </c>
      <c r="T31" s="12">
        <f t="shared" si="8"/>
        <v>32.5491147222896</v>
      </c>
      <c r="U31" s="31">
        <v>118.8921</v>
      </c>
      <c r="V31" s="30">
        <v>45</v>
      </c>
      <c r="W31" s="30">
        <v>16172</v>
      </c>
      <c r="X31" s="30">
        <v>12112</v>
      </c>
      <c r="Y31" s="30">
        <v>18.37</v>
      </c>
      <c r="Z31" s="30">
        <v>15.85</v>
      </c>
      <c r="AA31" s="27">
        <v>9</v>
      </c>
      <c r="AB31" s="30">
        <v>1886.8</v>
      </c>
      <c r="AC31" s="30">
        <v>60380</v>
      </c>
      <c r="AD31" s="30">
        <v>8.4</v>
      </c>
      <c r="AE31" s="27">
        <v>1112.8155</v>
      </c>
      <c r="AF31" s="30">
        <v>435.4447</v>
      </c>
      <c r="AG31" s="31">
        <v>43000</v>
      </c>
      <c r="AH31" s="30">
        <v>2215</v>
      </c>
      <c r="AI31" s="30">
        <v>56.47</v>
      </c>
      <c r="AJ31" s="30">
        <v>29.35</v>
      </c>
      <c r="AK31" s="30">
        <v>17187</v>
      </c>
      <c r="AL31" s="30">
        <v>13.87</v>
      </c>
      <c r="AM31" s="30">
        <v>5.56</v>
      </c>
      <c r="AN31" s="30">
        <v>71.98</v>
      </c>
      <c r="AO31" s="30">
        <v>91.2</v>
      </c>
      <c r="AP31" s="30">
        <v>96.6</v>
      </c>
      <c r="AQ31" s="27">
        <v>175.29</v>
      </c>
      <c r="AR31" s="17">
        <f t="shared" ref="AR31:AR37" si="10">AK31/(AK31+L31*10000)*100</f>
        <v>3.57312144496557</v>
      </c>
    </row>
    <row r="32" s="2" customFormat="1" ht="17.6" spans="1:44">
      <c r="A32" s="12" t="s">
        <v>195</v>
      </c>
      <c r="B32" s="25" t="s">
        <v>201</v>
      </c>
      <c r="C32" s="30">
        <v>90021</v>
      </c>
      <c r="D32" s="27">
        <v>430.38</v>
      </c>
      <c r="E32" s="30">
        <v>465.8</v>
      </c>
      <c r="F32" s="27">
        <v>10888</v>
      </c>
      <c r="G32" s="28">
        <v>23269</v>
      </c>
      <c r="H32" s="30">
        <v>360.4443</v>
      </c>
      <c r="I32" s="27">
        <v>55.0049</v>
      </c>
      <c r="J32" s="27">
        <v>71.5889</v>
      </c>
      <c r="K32" s="27">
        <v>30.9988</v>
      </c>
      <c r="L32" s="30">
        <f>35.6618+30.3574</f>
        <v>66.0192</v>
      </c>
      <c r="M32" s="27">
        <v>14329</v>
      </c>
      <c r="N32" s="27">
        <v>4130</v>
      </c>
      <c r="O32" s="27">
        <v>8109</v>
      </c>
      <c r="P32" s="27">
        <v>2348</v>
      </c>
      <c r="Q32" s="27">
        <v>23199</v>
      </c>
      <c r="R32" s="27">
        <v>8114</v>
      </c>
      <c r="S32" s="16">
        <f t="shared" si="7"/>
        <v>28.8226673180264</v>
      </c>
      <c r="T32" s="12">
        <f t="shared" si="8"/>
        <v>28.9554815636947</v>
      </c>
      <c r="U32" s="31" t="s">
        <v>0</v>
      </c>
      <c r="V32" s="30">
        <v>39</v>
      </c>
      <c r="W32" s="30">
        <v>21085</v>
      </c>
      <c r="X32" s="30">
        <v>17843</v>
      </c>
      <c r="Y32" s="30">
        <v>24.73</v>
      </c>
      <c r="Z32" s="30">
        <v>22.15</v>
      </c>
      <c r="AA32" s="27">
        <v>14</v>
      </c>
      <c r="AB32" s="30">
        <v>1778.3716</v>
      </c>
      <c r="AC32" s="30">
        <v>41309</v>
      </c>
      <c r="AD32" s="30">
        <v>7.9</v>
      </c>
      <c r="AE32" s="30">
        <v>1101.277</v>
      </c>
      <c r="AF32" s="30">
        <v>587.3891</v>
      </c>
      <c r="AG32" s="31" t="s">
        <v>0</v>
      </c>
      <c r="AH32" s="30">
        <v>2112</v>
      </c>
      <c r="AI32" s="30">
        <v>48.34</v>
      </c>
      <c r="AJ32" s="30">
        <v>36.23</v>
      </c>
      <c r="AK32" s="30">
        <v>28176</v>
      </c>
      <c r="AL32" s="30">
        <v>16.07</v>
      </c>
      <c r="AM32" s="30">
        <v>4.56</v>
      </c>
      <c r="AN32" s="30">
        <v>24.1</v>
      </c>
      <c r="AO32" s="30">
        <v>92.83</v>
      </c>
      <c r="AP32" s="30">
        <v>88.33</v>
      </c>
      <c r="AQ32" s="27">
        <v>257.46</v>
      </c>
      <c r="AR32" s="17">
        <f t="shared" si="10"/>
        <v>4.09315947284011</v>
      </c>
    </row>
    <row r="33" s="2" customFormat="1" ht="17.6" spans="1:44">
      <c r="A33" s="12" t="s">
        <v>195</v>
      </c>
      <c r="B33" s="25" t="s">
        <v>202</v>
      </c>
      <c r="C33" s="27">
        <v>202600</v>
      </c>
      <c r="D33" s="27">
        <v>104.04</v>
      </c>
      <c r="E33" s="31">
        <v>103.2867</v>
      </c>
      <c r="F33" s="27">
        <v>2751</v>
      </c>
      <c r="G33" s="27">
        <v>4068</v>
      </c>
      <c r="H33" s="27">
        <v>206.9878</v>
      </c>
      <c r="I33" s="27">
        <v>21.0716</v>
      </c>
      <c r="J33" s="27">
        <v>24.708</v>
      </c>
      <c r="K33" s="27">
        <v>13.6773</v>
      </c>
      <c r="L33" s="32">
        <v>36.0116</v>
      </c>
      <c r="M33" s="27">
        <v>23252</v>
      </c>
      <c r="N33" s="27">
        <v>8153</v>
      </c>
      <c r="O33" s="27">
        <v>11299</v>
      </c>
      <c r="P33" s="27">
        <v>4210</v>
      </c>
      <c r="Q33" s="27">
        <v>28053</v>
      </c>
      <c r="R33" s="27">
        <v>11306</v>
      </c>
      <c r="S33" s="16">
        <f t="shared" si="7"/>
        <v>35.0636504386719</v>
      </c>
      <c r="T33" s="12">
        <f t="shared" si="8"/>
        <v>37.2599345074785</v>
      </c>
      <c r="U33" s="31">
        <v>42.19</v>
      </c>
      <c r="V33" s="32">
        <v>13.97</v>
      </c>
      <c r="W33" s="27">
        <v>4772</v>
      </c>
      <c r="X33" s="27">
        <v>4300</v>
      </c>
      <c r="Y33" s="27">
        <v>5.7197</v>
      </c>
      <c r="Z33" s="27">
        <v>5.269</v>
      </c>
      <c r="AA33" s="27">
        <v>14</v>
      </c>
      <c r="AB33" s="27">
        <v>940.58</v>
      </c>
      <c r="AC33" s="27">
        <v>90471</v>
      </c>
      <c r="AD33" s="27">
        <v>8</v>
      </c>
      <c r="AE33" s="27">
        <v>522.5064</v>
      </c>
      <c r="AF33" s="27">
        <v>208</v>
      </c>
      <c r="AG33" s="31">
        <v>159600</v>
      </c>
      <c r="AH33" s="31">
        <v>2200</v>
      </c>
      <c r="AI33" s="31">
        <v>62.6</v>
      </c>
      <c r="AJ33" s="31">
        <v>26.9</v>
      </c>
      <c r="AK33" s="30">
        <v>11915</v>
      </c>
      <c r="AL33" s="31" t="s">
        <v>0</v>
      </c>
      <c r="AM33" s="31" t="s">
        <v>0</v>
      </c>
      <c r="AN33" s="31">
        <v>59.41</v>
      </c>
      <c r="AO33" s="31" t="s">
        <v>0</v>
      </c>
      <c r="AP33" s="31" t="s">
        <v>0</v>
      </c>
      <c r="AQ33" s="27">
        <v>58.93</v>
      </c>
      <c r="AR33" s="17">
        <f t="shared" si="10"/>
        <v>3.20269009840578</v>
      </c>
    </row>
    <row r="34" s="2" customFormat="1" ht="17.6" spans="1:44">
      <c r="A34" s="12" t="s">
        <v>195</v>
      </c>
      <c r="B34" s="25" t="s">
        <v>203</v>
      </c>
      <c r="C34" s="30">
        <v>54500</v>
      </c>
      <c r="D34" s="27">
        <v>211.71</v>
      </c>
      <c r="E34" s="30">
        <v>277</v>
      </c>
      <c r="F34" s="27">
        <v>3966</v>
      </c>
      <c r="G34" s="30">
        <v>7612</v>
      </c>
      <c r="H34" s="30">
        <v>297.1938</v>
      </c>
      <c r="I34" s="27">
        <v>68.5566</v>
      </c>
      <c r="J34" s="27">
        <v>35.1487</v>
      </c>
      <c r="K34" s="27">
        <v>19.0258</v>
      </c>
      <c r="L34" s="30">
        <f>16.4616+39.1032</f>
        <v>55.5648</v>
      </c>
      <c r="M34" s="27">
        <v>14169</v>
      </c>
      <c r="N34" s="27">
        <v>4840</v>
      </c>
      <c r="O34" s="27">
        <v>6695</v>
      </c>
      <c r="P34" s="27">
        <v>2749</v>
      </c>
      <c r="Q34" s="27">
        <v>22796</v>
      </c>
      <c r="R34" s="27">
        <v>7800</v>
      </c>
      <c r="S34" s="16">
        <f t="shared" si="7"/>
        <v>34.1590796809937</v>
      </c>
      <c r="T34" s="12">
        <f t="shared" si="8"/>
        <v>41.0604929051531</v>
      </c>
      <c r="U34" s="31">
        <v>121.1613</v>
      </c>
      <c r="V34" s="30">
        <v>22</v>
      </c>
      <c r="W34" s="30">
        <v>8763</v>
      </c>
      <c r="X34" s="30">
        <v>6774</v>
      </c>
      <c r="Y34" s="30">
        <v>8.61</v>
      </c>
      <c r="Z34" s="30">
        <v>8.59</v>
      </c>
      <c r="AA34" s="27">
        <v>12</v>
      </c>
      <c r="AB34" s="30">
        <v>873.7258</v>
      </c>
      <c r="AC34" s="30">
        <v>41138</v>
      </c>
      <c r="AD34" s="30">
        <v>7.8</v>
      </c>
      <c r="AE34" s="30">
        <v>133.5361</v>
      </c>
      <c r="AF34" s="30">
        <v>269.187</v>
      </c>
      <c r="AG34" s="32">
        <v>4700</v>
      </c>
      <c r="AH34" s="30">
        <v>19625</v>
      </c>
      <c r="AI34" s="30">
        <v>49.75</v>
      </c>
      <c r="AJ34" s="30">
        <v>35.15</v>
      </c>
      <c r="AK34" s="30">
        <v>6962</v>
      </c>
      <c r="AL34" s="30">
        <v>27.97</v>
      </c>
      <c r="AM34" s="30">
        <v>9.39</v>
      </c>
      <c r="AN34" s="30">
        <v>71.52</v>
      </c>
      <c r="AO34" s="30">
        <v>91.17</v>
      </c>
      <c r="AP34" s="30">
        <v>93.98</v>
      </c>
      <c r="AQ34" s="27">
        <v>113.4</v>
      </c>
      <c r="AR34" s="17">
        <f t="shared" si="10"/>
        <v>1.23744689927303</v>
      </c>
    </row>
    <row r="35" s="2" customFormat="1" ht="17.6" spans="1:44">
      <c r="A35" s="12" t="s">
        <v>195</v>
      </c>
      <c r="B35" s="18" t="s">
        <v>204</v>
      </c>
      <c r="C35" s="30">
        <v>86752</v>
      </c>
      <c r="D35" s="27">
        <v>203.49</v>
      </c>
      <c r="E35" s="30">
        <v>156</v>
      </c>
      <c r="F35" s="27">
        <v>4740</v>
      </c>
      <c r="G35" s="30">
        <v>9810</v>
      </c>
      <c r="H35" s="30">
        <v>541.75</v>
      </c>
      <c r="I35" s="27">
        <v>43.82</v>
      </c>
      <c r="J35" s="27">
        <v>56.5</v>
      </c>
      <c r="K35" s="27">
        <v>25.85</v>
      </c>
      <c r="L35" s="30">
        <v>48.65</v>
      </c>
      <c r="M35" s="27">
        <v>25944</v>
      </c>
      <c r="N35" s="27">
        <v>4040</v>
      </c>
      <c r="O35" s="27">
        <v>13432</v>
      </c>
      <c r="P35" s="27">
        <v>1952</v>
      </c>
      <c r="Q35" s="27">
        <v>34983</v>
      </c>
      <c r="R35" s="27">
        <v>13439</v>
      </c>
      <c r="S35" s="16">
        <f t="shared" si="7"/>
        <v>15.5720012334258</v>
      </c>
      <c r="T35" s="12">
        <f t="shared" si="8"/>
        <v>14.5324597974985</v>
      </c>
      <c r="U35" s="33">
        <v>64.9164</v>
      </c>
      <c r="V35" s="30">
        <v>19</v>
      </c>
      <c r="W35" s="30">
        <v>7588</v>
      </c>
      <c r="X35" s="30">
        <v>7558</v>
      </c>
      <c r="Y35" s="30">
        <v>11.61</v>
      </c>
      <c r="Z35" s="30">
        <v>5.16</v>
      </c>
      <c r="AA35" s="27">
        <v>9</v>
      </c>
      <c r="AB35" s="30">
        <v>4055.4873</v>
      </c>
      <c r="AC35" s="30">
        <v>200152</v>
      </c>
      <c r="AD35" s="30">
        <v>8</v>
      </c>
      <c r="AE35" s="30">
        <v>3422.53</v>
      </c>
      <c r="AF35" s="30">
        <v>609.48</v>
      </c>
      <c r="AG35" s="33">
        <v>113600</v>
      </c>
      <c r="AH35" s="30">
        <v>168500</v>
      </c>
      <c r="AI35" s="30">
        <v>58.1</v>
      </c>
      <c r="AJ35" s="30">
        <v>39.44</v>
      </c>
      <c r="AK35" s="30">
        <v>19285</v>
      </c>
      <c r="AL35" s="30">
        <v>106.27</v>
      </c>
      <c r="AM35" s="30">
        <v>17.25</v>
      </c>
      <c r="AN35" s="30">
        <v>42.37</v>
      </c>
      <c r="AO35" s="30">
        <v>95</v>
      </c>
      <c r="AP35" s="30">
        <v>98</v>
      </c>
      <c r="AQ35" s="33">
        <v>105.17</v>
      </c>
      <c r="AR35" s="17">
        <f t="shared" si="10"/>
        <v>3.81288492145872</v>
      </c>
    </row>
    <row r="36" s="2" customFormat="1" ht="17.6" spans="1:44">
      <c r="A36" s="12" t="s">
        <v>195</v>
      </c>
      <c r="B36" s="18" t="s">
        <v>205</v>
      </c>
      <c r="C36" s="30">
        <v>65140</v>
      </c>
      <c r="D36" s="27">
        <v>167.23</v>
      </c>
      <c r="E36" s="30">
        <v>178.6</v>
      </c>
      <c r="F36" s="27">
        <v>4332</v>
      </c>
      <c r="G36" s="30">
        <v>10759</v>
      </c>
      <c r="H36" s="30">
        <v>193.8</v>
      </c>
      <c r="I36" s="27">
        <v>32.84</v>
      </c>
      <c r="J36" s="27">
        <v>23.18</v>
      </c>
      <c r="K36" s="27">
        <v>15.4647</v>
      </c>
      <c r="L36" s="30">
        <v>54</v>
      </c>
      <c r="M36" s="27">
        <v>16364</v>
      </c>
      <c r="N36" s="27">
        <v>4571</v>
      </c>
      <c r="O36" s="27">
        <v>12472</v>
      </c>
      <c r="P36" s="27">
        <v>3676</v>
      </c>
      <c r="Q36" s="27">
        <v>22618</v>
      </c>
      <c r="R36" s="27">
        <v>12481</v>
      </c>
      <c r="S36" s="16">
        <f t="shared" si="7"/>
        <v>27.9332681495967</v>
      </c>
      <c r="T36" s="12">
        <f t="shared" si="8"/>
        <v>29.4740218088518</v>
      </c>
      <c r="U36" s="33" t="s">
        <v>0</v>
      </c>
      <c r="V36" s="30">
        <v>19</v>
      </c>
      <c r="W36" s="30">
        <v>6221</v>
      </c>
      <c r="X36" s="30">
        <v>5175</v>
      </c>
      <c r="Y36" s="30">
        <v>7.45</v>
      </c>
      <c r="Z36" s="30">
        <v>7.55</v>
      </c>
      <c r="AA36" s="27">
        <v>8</v>
      </c>
      <c r="AB36" s="30">
        <v>867.46</v>
      </c>
      <c r="AC36" s="30">
        <v>51872</v>
      </c>
      <c r="AD36" s="30">
        <v>7.8</v>
      </c>
      <c r="AE36" s="30">
        <v>941.2372</v>
      </c>
      <c r="AF36" s="30">
        <v>216.09</v>
      </c>
      <c r="AG36" s="32">
        <v>283000</v>
      </c>
      <c r="AH36" s="30">
        <v>10044</v>
      </c>
      <c r="AI36" s="30">
        <v>55.13</v>
      </c>
      <c r="AJ36" s="30">
        <v>25.45</v>
      </c>
      <c r="AK36" s="30">
        <v>12000</v>
      </c>
      <c r="AL36" s="30">
        <v>28.14</v>
      </c>
      <c r="AM36" s="30">
        <v>2.14</v>
      </c>
      <c r="AN36" s="30">
        <v>61.8</v>
      </c>
      <c r="AO36" s="30">
        <v>95.93</v>
      </c>
      <c r="AP36" s="30">
        <v>96.48</v>
      </c>
      <c r="AQ36" s="33">
        <v>15.17</v>
      </c>
      <c r="AR36" s="17">
        <f t="shared" si="10"/>
        <v>2.17391304347826</v>
      </c>
    </row>
    <row r="37" s="2" customFormat="1" ht="17.6" spans="1:44">
      <c r="A37" s="12" t="s">
        <v>195</v>
      </c>
      <c r="B37" s="18" t="s">
        <v>206</v>
      </c>
      <c r="C37" s="30">
        <v>1754</v>
      </c>
      <c r="D37" s="27">
        <v>55.42</v>
      </c>
      <c r="E37" s="30">
        <v>55.4</v>
      </c>
      <c r="F37" s="14">
        <v>1620</v>
      </c>
      <c r="G37" s="30">
        <v>3551</v>
      </c>
      <c r="H37" s="30">
        <v>94.78</v>
      </c>
      <c r="I37" s="27">
        <v>8.6857</v>
      </c>
      <c r="J37" s="27">
        <v>12.21</v>
      </c>
      <c r="K37" s="27">
        <v>6.33</v>
      </c>
      <c r="L37" s="30">
        <v>30.56</v>
      </c>
      <c r="M37" s="27">
        <v>24647</v>
      </c>
      <c r="N37" s="27">
        <v>6843</v>
      </c>
      <c r="O37" s="27">
        <v>12980</v>
      </c>
      <c r="P37" s="27">
        <v>3836</v>
      </c>
      <c r="Q37" s="27">
        <v>31481</v>
      </c>
      <c r="R37" s="27">
        <v>13422</v>
      </c>
      <c r="S37" s="16">
        <f t="shared" si="7"/>
        <v>27.7640280764393</v>
      </c>
      <c r="T37" s="12">
        <f t="shared" si="8"/>
        <v>29.5531587057011</v>
      </c>
      <c r="U37" s="33">
        <v>16.679</v>
      </c>
      <c r="V37" s="30">
        <v>11</v>
      </c>
      <c r="W37" s="30">
        <v>2243</v>
      </c>
      <c r="X37" s="30">
        <v>2581</v>
      </c>
      <c r="Y37" s="30">
        <v>3.01</v>
      </c>
      <c r="Z37" s="30">
        <v>3.64</v>
      </c>
      <c r="AA37" s="27">
        <v>4</v>
      </c>
      <c r="AB37" s="30">
        <v>601.0187</v>
      </c>
      <c r="AC37" s="30">
        <v>108556</v>
      </c>
      <c r="AD37" s="30">
        <v>8.8</v>
      </c>
      <c r="AE37" s="30">
        <v>352.203</v>
      </c>
      <c r="AF37" s="30">
        <v>127.02</v>
      </c>
      <c r="AG37" s="32">
        <v>1849</v>
      </c>
      <c r="AH37" s="30">
        <v>5800</v>
      </c>
      <c r="AI37" s="30">
        <v>63.4</v>
      </c>
      <c r="AJ37" s="30">
        <v>35.81</v>
      </c>
      <c r="AK37" s="30">
        <v>7686</v>
      </c>
      <c r="AL37" s="30">
        <v>18.28</v>
      </c>
      <c r="AM37" s="30">
        <v>7.24</v>
      </c>
      <c r="AN37" s="30">
        <v>49.15</v>
      </c>
      <c r="AO37" s="30">
        <v>90.71</v>
      </c>
      <c r="AP37" s="30">
        <v>94.57</v>
      </c>
      <c r="AQ37" s="32">
        <v>31.48</v>
      </c>
      <c r="AR37" s="17">
        <f t="shared" si="10"/>
        <v>2.45334933575072</v>
      </c>
    </row>
    <row r="38" s="2" customFormat="1" ht="17.6" spans="1:44">
      <c r="A38" s="12" t="s">
        <v>195</v>
      </c>
      <c r="B38" s="18" t="s">
        <v>207</v>
      </c>
      <c r="C38" s="27">
        <v>270200</v>
      </c>
      <c r="D38" s="27">
        <v>24.09</v>
      </c>
      <c r="E38" s="33">
        <v>24.09</v>
      </c>
      <c r="F38" s="27">
        <v>866</v>
      </c>
      <c r="G38" s="27">
        <v>1065</v>
      </c>
      <c r="H38" s="27">
        <v>85.25</v>
      </c>
      <c r="I38" s="27">
        <v>5.1507</v>
      </c>
      <c r="J38" s="27">
        <v>6.44</v>
      </c>
      <c r="K38" s="27">
        <v>3.91</v>
      </c>
      <c r="L38" s="33">
        <v>13.99</v>
      </c>
      <c r="M38" s="27">
        <v>26116</v>
      </c>
      <c r="N38" s="27">
        <v>7245</v>
      </c>
      <c r="O38" s="27">
        <v>14473</v>
      </c>
      <c r="P38" s="27">
        <v>3814</v>
      </c>
      <c r="Q38" s="27">
        <v>29919</v>
      </c>
      <c r="R38" s="27">
        <v>14477</v>
      </c>
      <c r="S38" s="16">
        <f t="shared" si="7"/>
        <v>27.7416143360392</v>
      </c>
      <c r="T38" s="12">
        <f t="shared" si="8"/>
        <v>26.3525184826919</v>
      </c>
      <c r="U38" s="33">
        <v>7.9689</v>
      </c>
      <c r="V38" s="33" t="s">
        <v>0</v>
      </c>
      <c r="W38" s="27">
        <v>1110</v>
      </c>
      <c r="X38" s="27">
        <v>1186</v>
      </c>
      <c r="Y38" s="27">
        <v>1.2139</v>
      </c>
      <c r="Z38" s="27">
        <v>1.1368</v>
      </c>
      <c r="AA38" s="27">
        <v>4</v>
      </c>
      <c r="AB38" s="27">
        <v>312.63</v>
      </c>
      <c r="AC38" s="27">
        <v>130426</v>
      </c>
      <c r="AD38" s="33">
        <v>8.6</v>
      </c>
      <c r="AE38" s="27">
        <v>300.3946</v>
      </c>
      <c r="AF38" s="27">
        <v>63.3</v>
      </c>
      <c r="AG38" s="33">
        <v>26663</v>
      </c>
      <c r="AH38" s="33" t="s">
        <v>0</v>
      </c>
      <c r="AI38" s="33">
        <v>68.94</v>
      </c>
      <c r="AJ38" s="33">
        <v>27.34</v>
      </c>
      <c r="AK38" s="33">
        <v>8134</v>
      </c>
      <c r="AL38" s="33" t="s">
        <v>0</v>
      </c>
      <c r="AM38" s="33" t="s">
        <v>0</v>
      </c>
      <c r="AN38" s="33">
        <v>65</v>
      </c>
      <c r="AO38" s="33" t="s">
        <v>0</v>
      </c>
      <c r="AP38" s="33" t="s">
        <v>0</v>
      </c>
      <c r="AQ38" s="32">
        <v>18.54</v>
      </c>
      <c r="AR38" s="17">
        <v>3.26</v>
      </c>
    </row>
  </sheetData>
  <mergeCells count="35">
    <mergeCell ref="I1:K1"/>
    <mergeCell ref="M1:P1"/>
    <mergeCell ref="W1:X1"/>
    <mergeCell ref="Y1:Z1"/>
    <mergeCell ref="A1:A3"/>
    <mergeCell ref="B1:B3"/>
    <mergeCell ref="C1:C2"/>
    <mergeCell ref="D1:D2"/>
    <mergeCell ref="E1:E2"/>
    <mergeCell ref="F1:F2"/>
    <mergeCell ref="G1:G2"/>
    <mergeCell ref="H1:H2"/>
    <mergeCell ref="Q1:Q2"/>
    <mergeCell ref="R1:R2"/>
    <mergeCell ref="S1:S2"/>
    <mergeCell ref="T1:T2"/>
    <mergeCell ref="U1:U2"/>
    <mergeCell ref="V1:V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刘朋朋</dc:creator>
  <cp:lastModifiedBy>秦海龙</cp:lastModifiedBy>
  <dcterms:created xsi:type="dcterms:W3CDTF">2025-12-04T11:19:00Z</dcterms:created>
  <dcterms:modified xsi:type="dcterms:W3CDTF">2025-12-07T10:37:36Z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22FE3F34194E3CC370E83469B1D20C92_43</vt:lpwstr>
  </property>
  <property fmtid="{D5CDD505-2E9C-101B-9397-08002B2CF9AE}" pid="3" name="KSOProductBuildVer">
    <vt:lpwstr>2052-12.1.23540.23540</vt:lpwstr>
  </property>
</Properties>
</file>